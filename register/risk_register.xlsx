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3"/>
    <sheet name="Register" sheetId="2" state="visible" r:id="rId4"/>
    <sheet name="Scoring Methodology" sheetId="3" state="visible" r:id="rId5"/>
    <sheet name="Lists" sheetId="4" state="visible" r:id="rId6"/>
    <sheet name="Crosswalk ID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<sst xmlns="http://schemas.openxmlformats.org/spreadsheetml/2006/main" count="456" uniqueCount="241">
  <si>
    <t xml:space="preserve">Risk register layer - EU AI Act evidence crosswalk</t>
  </si>
  <si>
    <t xml:space="preserve">Every risk row must cite a Linked Crosswalk Obligation ID. Actor role, risk tier and the ISO 42001 verdict are looked up from the crosswalk by formula.</t>
  </si>
  <si>
    <t xml:space="preserve">'Risk' is scored twice: Rights Impact (harm to health, safety and fundamental rights of persons - the Act's sense) and Organisational Impact (harm to the organisation - the enterprise-risk sense). They do not always point the same way.</t>
  </si>
  <si>
    <t xml:space="preserve">Grey columns are formulas - do not overwrite. Scales, effectiveness caps, bands and limitations are on the 'Scoring Methodology' sheet.</t>
  </si>
  <si>
    <t xml:space="preserve">Rows RISK-001 and RISK-002 are ILLUSTRATIVE worked examples about fictional systems. Evidence references are placeholders, not real documents.</t>
  </si>
  <si>
    <t xml:space="preserve">Dates were set relative to 2 Oct 2026 and to the application dates in the crosswalk (as of 2 Oct 2026; subject to further legislative amendment).</t>
  </si>
  <si>
    <t xml:space="preserve">Risk ID</t>
  </si>
  <si>
    <t xml:space="preserve">Linked Crosswalk Obligation ID</t>
  </si>
  <si>
    <t xml:space="preserve">AI System / Use Case</t>
  </si>
  <si>
    <t xml:space="preserve">Actor Role (auto)</t>
  </si>
  <si>
    <t xml:space="preserve">Risk Tier (auto)</t>
  </si>
  <si>
    <t xml:space="preserve">Risk Description</t>
  </si>
  <si>
    <t xml:space="preserve">Affected Party (individuals / org / both)</t>
  </si>
  <si>
    <t xml:space="preserve">Likelihood (1-5)</t>
  </si>
  <si>
    <t xml:space="preserve">Rights Impact (1-5)</t>
  </si>
  <si>
    <t xml:space="preserve">Organisational Impact (1-5)</t>
  </si>
  <si>
    <t xml:space="preserve">Rights Impact (L x I)</t>
  </si>
  <si>
    <t xml:space="preserve">Organisational Impact (L x I)</t>
  </si>
  <si>
    <t xml:space="preserve">Inherent Score</t>
  </si>
  <si>
    <t xml:space="preserve">Score driver</t>
  </si>
  <si>
    <t xml:space="preserve">Existing Controls (ISO 42001 ref)</t>
  </si>
  <si>
    <t xml:space="preserve">Crosswalk ISO 42001 verdict (auto)</t>
  </si>
  <si>
    <t xml:space="preserve">Control Effectiveness (as rated)</t>
  </si>
  <si>
    <t xml:space="preserve">Effectiveness cap from verdict (auto)</t>
  </si>
  <si>
    <t xml:space="preserve">Override justification (non-ISO control)</t>
  </si>
  <si>
    <t xml:space="preserve">Effectiveness applied</t>
  </si>
  <si>
    <t xml:space="preserve">Residual Likelihood</t>
  </si>
  <si>
    <t xml:space="preserve">Residual Rights (L x I)</t>
  </si>
  <si>
    <t xml:space="preserve">Residual Org (L x I)</t>
  </si>
  <si>
    <t xml:space="preserve">Residual Score</t>
  </si>
  <si>
    <t xml:space="preserve">Residual band</t>
  </si>
  <si>
    <t xml:space="preserve">Risk Owner (role)</t>
  </si>
  <si>
    <t xml:space="preserve">Treatment Decision</t>
  </si>
  <si>
    <t xml:space="preserve">Target Date</t>
  </si>
  <si>
    <t xml:space="preserve">Evidence Reference</t>
  </si>
  <si>
    <t xml:space="preserve">Review Date</t>
  </si>
  <si>
    <t xml:space="preserve">RISK-001</t>
  </si>
  <si>
    <t xml:space="preserve">PRV-HR-A10-BIAS</t>
  </si>
  <si>
    <t xml:space="preserve">EXAMPLE (fictional): recruitment CV-screening and candidate-ranking tool sold to employers (Annex III 4(a)).</t>
  </si>
  <si>
    <t xml:space="preserve">Training and validation data under-represent candidates with career breaks and some demographic groups, so ranking systematically scores them lower. Non-conformity with Art. 10(2)(f)-(g) and 10(3)-(4); outcome is discrimination in access to employment.</t>
  </si>
  <si>
    <t xml:space="preserve">both</t>
  </si>
  <si>
    <t xml:space="preserve">A.7.4 Quality of data; A.5.4 Impact on individuals or groups; A.6.2.4 Verification and validation.</t>
  </si>
  <si>
    <t xml:space="preserve">Partially effective</t>
  </si>
  <si>
    <t xml:space="preserve">Head of AI Product (accountable); Chief Data Officer (responsible); DPO (consulted)</t>
  </si>
  <si>
    <t xml:space="preserve">Mitigate</t>
  </si>
  <si>
    <t xml:space="preserve">EV-A10-BIAS-001 (placeholder): bias evaluation report v1.2 - run once on gender only; no test on employment gaps; no re-test cadence.</t>
  </si>
  <si>
    <t xml:space="preserve">RISK-002</t>
  </si>
  <si>
    <t xml:space="preserve">GPP-GP-A53-COPY</t>
  </si>
  <si>
    <t xml:space="preserve">EXAMPLE (fictional): general-purpose language model offered to downstream providers through an API.</t>
  </si>
  <si>
    <t xml:space="preserve">Data-acquisition pipeline does not reliably detect or honour machine-readable rights reservations (Art. 4(3), Directive (EU) 2019/790), so reserved works enter training data and the Art. 53(1)(c) copyright policy cannot be evidenced to the AI Office.</t>
  </si>
  <si>
    <t xml:space="preserve">A.7.3 Acquisition of data; A.7.5 Data provenance (these give provenance records but do not address rights reservations).</t>
  </si>
  <si>
    <t xml:space="preserve">Non-ISO control: opt-out detection filter in the crawler with a monthly sampled test log. Bespoke technical control, not an ISO 42001 control; test log is the evidence.</t>
  </si>
  <si>
    <t xml:space="preserve">General Counsel (accountable); Head of Data Acquisition (responsible)</t>
  </si>
  <si>
    <t xml:space="preserve">EV-A53-COPY-001 (placeholder): crawler opt-out filter test log.</t>
  </si>
  <si>
    <t xml:space="preserve">1. Why two impact scales</t>
  </si>
  <si>
    <t xml:space="preserve">In enterprise risk management 'risk' means risk to the organisation. In the EU AI Act 'risk' means risk to the health, safety and fundamental rights of persons. They are different objects and can diverge: a system can be commercially low-risk and high-risk to the people it affects. The register therefore scores Rights Impact and Organisational Impact separately and shows which one drives the result.</t>
  </si>
  <si>
    <t xml:space="preserve">2. Likelihood (next 12 months, in the system's operating context)</t>
  </si>
  <si>
    <t xml:space="preserve">Score</t>
  </si>
  <si>
    <t xml:space="preserve">Label</t>
  </si>
  <si>
    <t xml:space="preserve">Definition</t>
  </si>
  <si>
    <t xml:space="preserve">Rare</t>
  </si>
  <si>
    <t xml:space="preserve">Not expected in the next 12 months. No comparable incident documented in the sector. Would need several independent control failures.</t>
  </si>
  <si>
    <t xml:space="preserve">Unlikely</t>
  </si>
  <si>
    <t xml:space="preserve">Could occur. Isolated comparable incidents documented outside the sector or in a materially different use. Preventive controls are strong and tested.</t>
  </si>
  <si>
    <t xml:space="preserve">Possible</t>
  </si>
  <si>
    <t xml:space="preserve">Plausible under normal operation; comparable incidents documented in the sector.</t>
  </si>
  <si>
    <t xml:space="preserve">Likely</t>
  </si>
  <si>
    <t xml:space="preserve">Expected at least once in the next 12 months under current operation. Multiple documented comparable incidents, or a known weakness not yet treated.</t>
  </si>
  <si>
    <t xml:space="preserve">Almost certain</t>
  </si>
  <si>
    <t xml:space="preserve">Occurring now or recurring routinely. Known and unremediated.</t>
  </si>
  <si>
    <t xml:space="preserve">3. Rights Impact (harm to persons)</t>
  </si>
  <si>
    <t xml:space="preserve">Negligible</t>
  </si>
  <si>
    <t xml:space="preserve">No discernible adverse effect on any person; trivially reversible.</t>
  </si>
  <si>
    <t xml:space="preserve">Minor</t>
  </si>
  <si>
    <t xml:space="preserve">Transient inconvenience or minor differential treatment that the person can reverse quickly without outside help.</t>
  </si>
  <si>
    <t xml:space="preserve">Moderate</t>
  </si>
  <si>
    <t xml:space="preserve">Noticeable adverse effect on quality of service or treatment (delay, extra burden) that is reversible through complaint or appeal with effort; limited number of persons.</t>
  </si>
  <si>
    <t xml:space="preserve">Major</t>
  </si>
  <si>
    <t xml:space="preserve">Material adverse effect on an individual's access to a service, employment, or legal standing, or discrimination on a protected ground; reversal is slow or difficult.</t>
  </si>
  <si>
    <t xml:space="preserve">Severe</t>
  </si>
  <si>
    <t xml:space="preserve">Death or serious harm to health, loss of liberty, serious infringement of a fundamental right, or discrimination affecting many persons; effectively irreversible.</t>
  </si>
  <si>
    <t xml:space="preserve">4. Organisational Impact (harm to the organisation)</t>
  </si>
  <si>
    <t xml:space="preserve">Handled inside the team; no external attention; within business-as-usual cost.</t>
  </si>
  <si>
    <t xml:space="preserve">Internal remediation project; no regulator or customer escalation.</t>
  </si>
  <si>
    <t xml:space="preserve">Regulator information request, customer escalation or contractual remedy; funded remediation programme.</t>
  </si>
  <si>
    <t xml:space="preserve">Formal enforcement step (corrective order, withdrawal or recall), loss of a key customer or of a certification, or a fine well below the statutory ceiling.</t>
  </si>
  <si>
    <t xml:space="preserve">Fine at or near the statutory ceiling (Art. 99(4): up to EUR 15m or 3% of worldwide turnover for operator obligations; Art. 99(3): EUR 35m / 7% for Art. 5; Art. 101: up to 3% / EUR 15m for GPAI providers), withdrawal of the product line from the Union market, or existential reputational damage.</t>
  </si>
  <si>
    <t xml:space="preserve">5. Control effectiveness (rated on evidence of operation)</t>
  </si>
  <si>
    <t xml:space="preserve">Reduction</t>
  </si>
  <si>
    <t xml:space="preserve">Rating</t>
  </si>
  <si>
    <t xml:space="preserve">Not effective</t>
  </si>
  <si>
    <t xml:space="preserve">No control, or a documented control with no evidence it operates.</t>
  </si>
  <si>
    <t xml:space="preserve">Designed and implemented, but untested, or tested with known material gaps.</t>
  </si>
  <si>
    <t xml:space="preserve">Largely effective</t>
  </si>
  <si>
    <t xml:space="preserve">Designed, implemented and tested within the last 12 months with only minor gaps.</t>
  </si>
  <si>
    <t xml:space="preserve">6. Effectiveness cap from the crosswalk verdict</t>
  </si>
  <si>
    <t xml:space="preserve">Crosswalk ISO 42001 verdict</t>
  </si>
  <si>
    <t xml:space="preserve">Maximum effectiveness unless a written override cites a non-ISO control</t>
  </si>
  <si>
    <t xml:space="preserve">Substantially evidences</t>
  </si>
  <si>
    <t xml:space="preserve">Partially evidences</t>
  </si>
  <si>
    <t xml:space="preserve">Adjacent</t>
  </si>
  <si>
    <t xml:space="preserve">No coverage</t>
  </si>
  <si>
    <t xml:space="preserve">7. Formulae</t>
  </si>
  <si>
    <t xml:space="preserve">Item</t>
  </si>
  <si>
    <t xml:space="preserve">Rule</t>
  </si>
  <si>
    <t xml:space="preserve">Rights score / Org score</t>
  </si>
  <si>
    <t xml:space="preserve">Likelihood x Rights Impact ; Likelihood x Organisational Impact</t>
  </si>
  <si>
    <t xml:space="preserve">Inherent score</t>
  </si>
  <si>
    <t xml:space="preserve">MAX(Rights score, Organisational score); driver column shows which one</t>
  </si>
  <si>
    <t xml:space="preserve">Residual likelihood</t>
  </si>
  <si>
    <t xml:space="preserve">MAX(1, Likelihood - reduction for the applied effectiveness)</t>
  </si>
  <si>
    <t xml:space="preserve">Residual score</t>
  </si>
  <si>
    <t xml:space="preserve">MAX(Residual likelihood x Rights Impact, Residual likelihood x Org Impact). Impacts are not reduced by controls in this version.</t>
  </si>
  <si>
    <t xml:space="preserve">Bands (by product)</t>
  </si>
  <si>
    <t xml:space="preserve">Low 1-4; Medium 5-9; High 10-15; Critical 16-25</t>
  </si>
  <si>
    <t xml:space="preserve">Rights floor</t>
  </si>
  <si>
    <t xml:space="preserve">Rights floor: if Rights Impact = 5, or Rights Impact &gt;= 4 and residual Likelihood &gt;= 2, the band is raised to at least High regardless of the product. This is a deliberate judgement to stop multiplication from burying severe harm to individuals under a Medium score.</t>
  </si>
  <si>
    <t xml:space="preserve">8. Limitations (named by the author)</t>
  </si>
  <si>
    <t xml:space="preserve">#</t>
  </si>
  <si>
    <t xml:space="preserve">Limitation</t>
  </si>
  <si>
    <t xml:space="preserve">Ordinal, not cardinal. A 4 is not twice a 2, and a product of 12 is not 'three times' a product of 4. Multiplying ordinals into a composite is standard practice and methodologically imperfect: it creates ties (e.g. 3x4 = 4x3), treats the scales as if they had equal intervals, and hides which dimension drives the score. That is why Rights and Organisational scores are kept in separate columns and the driver is shown.</t>
  </si>
  <si>
    <t xml:space="preserve">Inherent score = MAX(Rights score, Organisational score), not a sum or average, so a high rights harm is never diluted by a low business impact.</t>
  </si>
  <si>
    <t xml:space="preserve">Likelihood is a single event-likelihood shared by both impact dimensions. Likelihood of enforcement action is not modelled separately; it is folded into Organisational Impact definitions.</t>
  </si>
  <si>
    <t xml:space="preserve">Control-effectiveness reductions (0, 1, 2 points of likelihood) are a convention, not a measurement. They are capped by the linked crosswalk verdict so a certificate-backed control cannot be over-credited.</t>
  </si>
  <si>
    <t xml:space="preserve">Anchored definitions reduce, but do not remove, rater subjectivity. Calibrate by having two raters score the same five risks independently and discussing differences.</t>
  </si>
  <si>
    <t xml:space="preserve">The register scores risk to persons (Act sense) AND risk to the organisation (ERM sense) because they do not always point the same way. It does not replace the Art. 9 risk management system or the Art. 27 FRIA; it supports them.</t>
  </si>
  <si>
    <t xml:space="preserve">Effectiveness</t>
  </si>
  <si>
    <t xml:space="preserve">Likelihood reduction</t>
  </si>
  <si>
    <t xml:space="preserve">Crosswalk verdict</t>
  </si>
  <si>
    <t xml:space="preserve">Max effectiveness</t>
  </si>
  <si>
    <t xml:space="preserve">Treatment</t>
  </si>
  <si>
    <t xml:space="preserve">Affected party</t>
  </si>
  <si>
    <t xml:space="preserve">individuals</t>
  </si>
  <si>
    <t xml:space="preserve">Accept</t>
  </si>
  <si>
    <t xml:space="preserve">org</t>
  </si>
  <si>
    <t xml:space="preserve">Transfer</t>
  </si>
  <si>
    <t xml:space="preserve">Avoid</t>
  </si>
  <si>
    <t xml:space="preserve">obligation_id</t>
  </si>
  <si>
    <t xml:space="preserve">eu_ai_act_article</t>
  </si>
  <si>
    <t xml:space="preserve">actor_role</t>
  </si>
  <si>
    <t xml:space="preserve">risk_tier</t>
  </si>
  <si>
    <t xml:space="preserve">iso42001_verdict</t>
  </si>
  <si>
    <t xml:space="preserve">nist_verdict</t>
  </si>
  <si>
    <t xml:space="preserve">PRV-HR-A09-RMS</t>
  </si>
  <si>
    <t xml:space="preserve">Art. 9(1)-(5)</t>
  </si>
  <si>
    <t xml:space="preserve">Provider</t>
  </si>
  <si>
    <t xml:space="preserve">High-risk</t>
  </si>
  <si>
    <t xml:space="preserve">PRV-HR-A09-TEST</t>
  </si>
  <si>
    <t xml:space="preserve">Art. 9(6)-(8)</t>
  </si>
  <si>
    <t xml:space="preserve">PRV-HR-A09-VULN</t>
  </si>
  <si>
    <t xml:space="preserve">Art. 9(9)</t>
  </si>
  <si>
    <t xml:space="preserve">PRV-HR-A10-GOV</t>
  </si>
  <si>
    <t xml:space="preserve">Art. 10(1), 10(2)(a)-(e), 10(2)(h)</t>
  </si>
  <si>
    <t xml:space="preserve">Art. 10(2)(f)-(g), 10(3)-(4)</t>
  </si>
  <si>
    <t xml:space="preserve">PRV-HR-A10-SCD</t>
  </si>
  <si>
    <t xml:space="preserve">Art. 4a (replacing deleted Art. 10(5))</t>
  </si>
  <si>
    <t xml:space="preserve">PRV-HR-A11-DOC</t>
  </si>
  <si>
    <t xml:space="preserve">Art. 11, Annex IV</t>
  </si>
  <si>
    <t xml:space="preserve">PRV-HR-A12-LOG</t>
  </si>
  <si>
    <t xml:space="preserve">Art. 12(1)-(2) (12(3) for Annex III 1(a))</t>
  </si>
  <si>
    <t xml:space="preserve">PRV-HR-A13-IFU</t>
  </si>
  <si>
    <t xml:space="preserve">Art. 13(1)-(3)</t>
  </si>
  <si>
    <t xml:space="preserve">PRV-HR-A14-OVS</t>
  </si>
  <si>
    <t xml:space="preserve">Art. 14(1)-(4)</t>
  </si>
  <si>
    <t xml:space="preserve">PRV-HR-A15-ACC</t>
  </si>
  <si>
    <t xml:space="preserve">Art. 15(1)-(4)</t>
  </si>
  <si>
    <t xml:space="preserve">PRV-HR-A15-CYB</t>
  </si>
  <si>
    <t xml:space="preserve">Art. 15(5), Art. 42(2)</t>
  </si>
  <si>
    <t xml:space="preserve">PRV-HR-A17-QMS</t>
  </si>
  <si>
    <t xml:space="preserve">Art. 17(1)-(4)</t>
  </si>
  <si>
    <t xml:space="preserve">PRV-HR-A19-LOGRET</t>
  </si>
  <si>
    <t xml:space="preserve">Art. 19</t>
  </si>
  <si>
    <t xml:space="preserve">PRV-HR-A43-CA</t>
  </si>
  <si>
    <t xml:space="preserve">Art. 43</t>
  </si>
  <si>
    <t xml:space="preserve">PRV-HR-A47-DOC</t>
  </si>
  <si>
    <t xml:space="preserve">Art. 47, Annex V</t>
  </si>
  <si>
    <t xml:space="preserve">PRV-HR-A48-CE</t>
  </si>
  <si>
    <t xml:space="preserve">Art. 48</t>
  </si>
  <si>
    <t xml:space="preserve">PRV-HR-A49-REG</t>
  </si>
  <si>
    <t xml:space="preserve">Art. 49(1), 49(5)</t>
  </si>
  <si>
    <t xml:space="preserve">PRV-HR-A06-NONHR</t>
  </si>
  <si>
    <t xml:space="preserve">Art. 6(3)-(4), Art. 49(2)</t>
  </si>
  <si>
    <t xml:space="preserve">PRV-HR-A20-CORR</t>
  </si>
  <si>
    <t xml:space="preserve">Art. 20</t>
  </si>
  <si>
    <t xml:space="preserve">PRV-HR-A72-PMM</t>
  </si>
  <si>
    <t xml:space="preserve">Art. 72</t>
  </si>
  <si>
    <t xml:space="preserve">PRV-HR-A73-SI</t>
  </si>
  <si>
    <t xml:space="preserve">Art. 73(1)-(6); Art. 3(49)</t>
  </si>
  <si>
    <t xml:space="preserve">PRV-HR-A25-CHAIN</t>
  </si>
  <si>
    <t xml:space="preserve">Art. 25(1)-(4)</t>
  </si>
  <si>
    <t xml:space="preserve">PRV-HR-A22-AR</t>
  </si>
  <si>
    <t xml:space="preserve">Art. 22</t>
  </si>
  <si>
    <t xml:space="preserve">PRV-ALL-A04-LIT</t>
  </si>
  <si>
    <t xml:space="preserve">Art. 4</t>
  </si>
  <si>
    <t xml:space="preserve">All AI systems</t>
  </si>
  <si>
    <t xml:space="preserve">DEP-ALL-A04-LIT</t>
  </si>
  <si>
    <t xml:space="preserve">Deployer</t>
  </si>
  <si>
    <t xml:space="preserve">DEP-HR-A26-USE</t>
  </si>
  <si>
    <t xml:space="preserve">Art. 26(1)</t>
  </si>
  <si>
    <t xml:space="preserve">DEP-HR-A26-OVS</t>
  </si>
  <si>
    <t xml:space="preserve">Art. 26(2)</t>
  </si>
  <si>
    <t xml:space="preserve">DEP-HR-A26-INPUT</t>
  </si>
  <si>
    <t xml:space="preserve">Art. 26(4)</t>
  </si>
  <si>
    <t xml:space="preserve">DEP-HR-A26-MON</t>
  </si>
  <si>
    <t xml:space="preserve">Art. 26(5)</t>
  </si>
  <si>
    <t xml:space="preserve">DEP-HR-A26-WORK</t>
  </si>
  <si>
    <t xml:space="preserve">Art. 26(7)</t>
  </si>
  <si>
    <t xml:space="preserve">DEP-HR-A26-NOTIFY</t>
  </si>
  <si>
    <t xml:space="preserve">Art. 26(11)</t>
  </si>
  <si>
    <t xml:space="preserve">DEP-HR-A27-FRIA</t>
  </si>
  <si>
    <t xml:space="preserve">Art. 27</t>
  </si>
  <si>
    <t xml:space="preserve">DEP-HR-A86-EXPL</t>
  </si>
  <si>
    <t xml:space="preserve">Art. 86</t>
  </si>
  <si>
    <t xml:space="preserve">IMP-HR-A23-VERIFY</t>
  </si>
  <si>
    <t xml:space="preserve">Art. 23</t>
  </si>
  <si>
    <t xml:space="preserve">Importer</t>
  </si>
  <si>
    <t xml:space="preserve">DIS-HR-A24-VERIFY</t>
  </si>
  <si>
    <t xml:space="preserve">Art. 24</t>
  </si>
  <si>
    <t xml:space="preserve">Distributor</t>
  </si>
  <si>
    <t xml:space="preserve">GPP-GP-A53-DOC</t>
  </si>
  <si>
    <t xml:space="preserve">Art. 53(1)(a), Annex XI s.1</t>
  </si>
  <si>
    <t xml:space="preserve">GPAI model provider</t>
  </si>
  <si>
    <t xml:space="preserve">GPAI</t>
  </si>
  <si>
    <t xml:space="preserve">GPP-GP-A53-DOWN</t>
  </si>
  <si>
    <t xml:space="preserve">Art. 53(1)(b), Annex XII</t>
  </si>
  <si>
    <t xml:space="preserve">Art. 53(1)(c)</t>
  </si>
  <si>
    <t xml:space="preserve">GPP-GP-A53-SUMM</t>
  </si>
  <si>
    <t xml:space="preserve">Art. 53(1)(d)</t>
  </si>
  <si>
    <t xml:space="preserve">GPP-GP-A53-ROUTE</t>
  </si>
  <si>
    <t xml:space="preserve">Art. 53(4), Art. 55(2)</t>
  </si>
  <si>
    <t xml:space="preserve">GPP-GP-A54-AR</t>
  </si>
  <si>
    <t xml:space="preserve">Art. 54</t>
  </si>
  <si>
    <t xml:space="preserve">GPP-GPS-A55-EVAL</t>
  </si>
  <si>
    <t xml:space="preserve">Art. 55(1)(a), Annex XI s.2</t>
  </si>
  <si>
    <t xml:space="preserve">GPAI with systemic risk</t>
  </si>
  <si>
    <t xml:space="preserve">GPP-GPS-A55-SYS</t>
  </si>
  <si>
    <t xml:space="preserve">Art. 55(1)(b)</t>
  </si>
  <si>
    <t xml:space="preserve">GPP-GPS-A55-INC</t>
  </si>
  <si>
    <t xml:space="preserve">Art. 55(1)(c)</t>
  </si>
  <si>
    <t xml:space="preserve">GPP-GPS-A55-CYB</t>
  </si>
  <si>
    <t xml:space="preserve">Art. 55(1)(d)</t>
  </si>
</sst>
</file>

<file path=xl/styles.xml><?xml version="1.0" encoding="utf-8"?>
<styleSheet xmlns="http://schemas.openxmlformats.org/spreadsheetml/2006/main">
  <numFmts count="2">
    <numFmt numFmtId="164" formatCode="General"/>
    <numFmt numFmtId="165" formatCode="yyyy\-mm\-dd"/>
  </numFmts>
  <fonts count="9">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sz val="11"/>
      <name val="Cambria"/>
      <family val="0"/>
      <charset val="1"/>
    </font>
    <font>
      <b val="true"/>
      <sz val="11"/>
      <color rgb="FFFFFFFF"/>
      <name val="Cambria"/>
      <family val="0"/>
      <charset val="1"/>
    </font>
    <font>
      <b val="true"/>
      <sz val="12"/>
      <name val="Cambria"/>
      <family val="0"/>
      <charset val="1"/>
    </font>
    <font>
      <b val="true"/>
      <sz val="11"/>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28.3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38"/>
    <col collapsed="false" customWidth="true" hidden="false" outlineLevel="0" max="5" min="4" style="0" width="14"/>
    <col collapsed="false" customWidth="true" hidden="false" outlineLevel="0" max="6" min="6" style="0" width="55"/>
    <col collapsed="false" customWidth="true" hidden="false" outlineLevel="0" max="7" min="7" style="0" width="14"/>
    <col collapsed="false" customWidth="true" hidden="false" outlineLevel="0" max="9" min="8" style="0" width="10"/>
    <col collapsed="false" customWidth="true" hidden="false" outlineLevel="0" max="10" min="10" style="0" width="12"/>
    <col collapsed="false" customWidth="true" hidden="false" outlineLevel="0" max="11" min="11" style="0" width="11"/>
    <col collapsed="false" customWidth="true" hidden="false" outlineLevel="0" max="12" min="12" style="0" width="12"/>
    <col collapsed="false" customWidth="true" hidden="false" outlineLevel="0" max="13" min="13" style="0" width="10"/>
    <col collapsed="false" customWidth="true" hidden="false" outlineLevel="0" max="14" min="14" style="0" width="13"/>
    <col collapsed="false" customWidth="true" hidden="false" outlineLevel="0" max="15" min="15" style="0" width="40"/>
    <col collapsed="false" customWidth="true" hidden="false" outlineLevel="0" max="16" min="16" style="0" width="20"/>
    <col collapsed="false" customWidth="true" hidden="false" outlineLevel="0" max="17" min="17" style="0" width="18"/>
    <col collapsed="false" customWidth="true" hidden="false" outlineLevel="0" max="18" min="18" style="0" width="20"/>
    <col collapsed="false" customWidth="true" hidden="false" outlineLevel="0" max="19" min="19" style="0" width="40"/>
    <col collapsed="false" customWidth="true" hidden="false" outlineLevel="0" max="20" min="20" style="0" width="18"/>
    <col collapsed="false" customWidth="true" hidden="false" outlineLevel="0" max="21" min="21" style="0" width="10"/>
    <col collapsed="false" customWidth="true" hidden="false" outlineLevel="0" max="23" min="22" style="0" width="11"/>
    <col collapsed="false" customWidth="true" hidden="false" outlineLevel="0" max="24" min="24" style="0" width="10"/>
    <col collapsed="false" customWidth="true" hidden="false" outlineLevel="0" max="25" min="25" style="0" width="11"/>
    <col collapsed="false" customWidth="true" hidden="false" outlineLevel="0" max="26" min="26" style="0" width="36"/>
    <col collapsed="false" customWidth="true" hidden="false" outlineLevel="0" max="28" min="27" style="0" width="12"/>
    <col collapsed="false" customWidth="true" hidden="false" outlineLevel="0" max="29" min="29" style="0" width="40"/>
    <col collapsed="false" customWidth="true" hidden="false" outlineLevel="0" max="30" min="30" style="0" width="12"/>
  </cols>
  <sheetData>
    <row r="1" customFormat="false" ht="48" hidden="false" customHeight="true" outlineLevel="0" collapsed="false">
      <c r="A1" s="3" t="s">
        <v>6</v>
      </c>
      <c r="B1" s="3" t="s">
        <v>7</v>
      </c>
      <c r="C1" s="3" t="s">
        <v>8</v>
      </c>
      <c r="D1" s="3"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c r="X1" s="3" t="s">
        <v>29</v>
      </c>
      <c r="Y1" s="3" t="s">
        <v>30</v>
      </c>
      <c r="Z1" s="3" t="s">
        <v>31</v>
      </c>
      <c r="AA1" s="3" t="s">
        <v>32</v>
      </c>
      <c r="AB1" s="3" t="s">
        <v>33</v>
      </c>
      <c r="AC1" s="3" t="s">
        <v>34</v>
      </c>
      <c r="AD1" s="3" t="s">
        <v>35</v>
      </c>
    </row>
    <row r="2" customFormat="false" ht="68.65" hidden="false" customHeight="false" outlineLevel="0" collapsed="false">
      <c r="A2" s="4" t="s">
        <v>36</v>
      </c>
      <c r="B2" s="4" t="s">
        <v>37</v>
      </c>
      <c r="C2" s="4" t="s">
        <v>38</v>
      </c>
      <c r="D2" s="5" t="str">
        <f aca="false">IF(B2="","",IFERROR(INDEX('Crosswalk IDs'!$C$2:$C$47,MATCH(B2,'Crosswalk IDs'!$A$2:$A$47,0)),"ID NOT IN CROSSWALK"))</f>
        <v>Provider</v>
      </c>
      <c r="E2" s="5" t="str">
        <f aca="false">IF(B2="","",IFERROR(INDEX('Crosswalk IDs'!$D$2:$D$47,MATCH(B2,'Crosswalk IDs'!$A$2:$A$47,0)),"ID NOT IN CROSSWALK"))</f>
        <v>High-risk</v>
      </c>
      <c r="F2" s="4" t="s">
        <v>39</v>
      </c>
      <c r="G2" s="4" t="s">
        <v>40</v>
      </c>
      <c r="H2" s="6" t="n">
        <v>3</v>
      </c>
      <c r="I2" s="6" t="n">
        <v>4</v>
      </c>
      <c r="J2" s="6" t="n">
        <v>3</v>
      </c>
      <c r="K2" s="5" t="n">
        <f aca="false">IF(OR(H2="",I2=""),"",H2*I2)</f>
        <v>12</v>
      </c>
      <c r="L2" s="5" t="n">
        <f aca="false">IF(OR(H2="",J2=""),"",H2*J2)</f>
        <v>9</v>
      </c>
      <c r="M2" s="5" t="n">
        <f aca="false">IF(K2="","",MAX(K2,L2))</f>
        <v>12</v>
      </c>
      <c r="N2" s="5" t="str">
        <f aca="false">IF(M2="","",IF(K2&gt;L2,"Rights",IF(L2&gt;K2,"Organisation","Both equal")))</f>
        <v>Rights</v>
      </c>
      <c r="O2" s="4" t="s">
        <v>41</v>
      </c>
      <c r="P2" s="5" t="str">
        <f aca="false">IF(B2="","",IFERROR(INDEX('Crosswalk IDs'!$E$2:$E$47,MATCH(B2,'Crosswalk IDs'!$A$2:$A$47,0)),"ID NOT IN CROSSWALK"))</f>
        <v>Partially evidences</v>
      </c>
      <c r="Q2" s="4" t="s">
        <v>42</v>
      </c>
      <c r="R2" s="5" t="str">
        <f aca="false">IF(P2="","",IFERROR(INDEX(Lists!$F$2:$F$5,MATCH(P2,Lists!$E$2:$E$5,0)),""))</f>
        <v>Partially effective</v>
      </c>
      <c r="S2" s="4"/>
      <c r="T2" s="5" t="str">
        <f aca="false">IF(OR(Q2="",R2=""),"",IF(AND(MATCH(Q2,Lists!$A$2:$A$4,0)&gt;MATCH(R2,Lists!$A$2:$A$4,0),S2=""),R2,Q2))</f>
        <v>Partially effective</v>
      </c>
      <c r="U2" s="5" t="n">
        <f aca="false">IF(T2="","",MAX(1,H2-(MATCH(T2,Lists!$A$2:$A$4,0)-1)))</f>
        <v>2</v>
      </c>
      <c r="V2" s="5" t="n">
        <f aca="false">IF(U2="","",U2*I2)</f>
        <v>8</v>
      </c>
      <c r="W2" s="5" t="n">
        <f aca="false">IF(U2="","",U2*J2)</f>
        <v>6</v>
      </c>
      <c r="X2" s="5" t="n">
        <f aca="false">IF(U2="","",MAX(V2,W2))</f>
        <v>8</v>
      </c>
      <c r="Y2" s="5" t="str">
        <f aca="false">IF(X2="","",CHOOSE(MAX(IF(X2&gt;=16,4,IF(X2&gt;=10,3,IF(X2&gt;=5,2,1))),IF(OR(I2=5,AND(I2&gt;=4,U2&gt;=2)),3,1)),"Low","Medium","High","Critical"))</f>
        <v>High</v>
      </c>
      <c r="Z2" s="4" t="s">
        <v>43</v>
      </c>
      <c r="AA2" s="4" t="s">
        <v>44</v>
      </c>
      <c r="AB2" s="7" t="n">
        <v>46568</v>
      </c>
      <c r="AC2" s="4" t="s">
        <v>45</v>
      </c>
      <c r="AD2" s="7" t="n">
        <v>46402</v>
      </c>
    </row>
    <row r="3" customFormat="false" ht="55.2" hidden="false" customHeight="false" outlineLevel="0" collapsed="false">
      <c r="A3" s="4" t="s">
        <v>46</v>
      </c>
      <c r="B3" s="4" t="s">
        <v>47</v>
      </c>
      <c r="C3" s="4" t="s">
        <v>48</v>
      </c>
      <c r="D3" s="5" t="str">
        <f aca="false">IF(B3="","",IFERROR(INDEX('Crosswalk IDs'!$C$2:$C$47,MATCH(B3,'Crosswalk IDs'!$A$2:$A$47,0)),"ID NOT IN CROSSWALK"))</f>
        <v>GPAI model provider</v>
      </c>
      <c r="E3" s="5" t="str">
        <f aca="false">IF(B3="","",IFERROR(INDEX('Crosswalk IDs'!$D$2:$D$47,MATCH(B3,'Crosswalk IDs'!$A$2:$A$47,0)),"ID NOT IN CROSSWALK"))</f>
        <v>GPAI</v>
      </c>
      <c r="F3" s="4" t="s">
        <v>49</v>
      </c>
      <c r="G3" s="4" t="s">
        <v>40</v>
      </c>
      <c r="H3" s="6" t="n">
        <v>3</v>
      </c>
      <c r="I3" s="6" t="n">
        <v>2</v>
      </c>
      <c r="J3" s="6" t="n">
        <v>4</v>
      </c>
      <c r="K3" s="5" t="n">
        <f aca="false">IF(OR(H3="",I3=""),"",H3*I3)</f>
        <v>6</v>
      </c>
      <c r="L3" s="5" t="n">
        <f aca="false">IF(OR(H3="",J3=""),"",H3*J3)</f>
        <v>12</v>
      </c>
      <c r="M3" s="5" t="n">
        <f aca="false">IF(K3="","",MAX(K3,L3))</f>
        <v>12</v>
      </c>
      <c r="N3" s="5" t="str">
        <f aca="false">IF(M3="","",IF(K3&gt;L3,"Rights",IF(L3&gt;K3,"Organisation","Both equal")))</f>
        <v>Organisation</v>
      </c>
      <c r="O3" s="4" t="s">
        <v>50</v>
      </c>
      <c r="P3" s="5" t="str">
        <f aca="false">IF(B3="","",IFERROR(INDEX('Crosswalk IDs'!$E$2:$E$47,MATCH(B3,'Crosswalk IDs'!$A$2:$A$47,0)),"ID NOT IN CROSSWALK"))</f>
        <v>Adjacent</v>
      </c>
      <c r="Q3" s="4" t="s">
        <v>42</v>
      </c>
      <c r="R3" s="5" t="str">
        <f aca="false">IF(P3="","",IFERROR(INDEX(Lists!$F$2:$F$5,MATCH(P3,Lists!$E$2:$E$5,0)),""))</f>
        <v>Not effective</v>
      </c>
      <c r="S3" s="4" t="s">
        <v>51</v>
      </c>
      <c r="T3" s="5" t="str">
        <f aca="false">IF(OR(Q3="",R3=""),"",IF(AND(MATCH(Q3,Lists!$A$2:$A$4,0)&gt;MATCH(R3,Lists!$A$2:$A$4,0),S3=""),R3,Q3))</f>
        <v>Partially effective</v>
      </c>
      <c r="U3" s="5" t="n">
        <f aca="false">IF(T3="","",MAX(1,H3-(MATCH(T3,Lists!$A$2:$A$4,0)-1)))</f>
        <v>2</v>
      </c>
      <c r="V3" s="5" t="n">
        <f aca="false">IF(U3="","",U3*I3)</f>
        <v>4</v>
      </c>
      <c r="W3" s="5" t="n">
        <f aca="false">IF(U3="","",U3*J3)</f>
        <v>8</v>
      </c>
      <c r="X3" s="5" t="n">
        <f aca="false">IF(U3="","",MAX(V3,W3))</f>
        <v>8</v>
      </c>
      <c r="Y3" s="5" t="str">
        <f aca="false">IF(X3="","",CHOOSE(MAX(IF(X3&gt;=16,4,IF(X3&gt;=10,3,IF(X3&gt;=5,2,1))),IF(OR(I3=5,AND(I3&gt;=4,U3&gt;=2)),3,1)),"Low","Medium","High","Critical"))</f>
        <v>Medium</v>
      </c>
      <c r="Z3" s="4" t="s">
        <v>52</v>
      </c>
      <c r="AA3" s="4" t="s">
        <v>44</v>
      </c>
      <c r="AB3" s="7" t="n">
        <v>46387</v>
      </c>
      <c r="AC3" s="4" t="s">
        <v>53</v>
      </c>
      <c r="AD3" s="7" t="n">
        <v>46341</v>
      </c>
    </row>
    <row r="4" customFormat="false" ht="15" hidden="false" customHeight="false" outlineLevel="0" collapsed="false">
      <c r="A4" s="4"/>
      <c r="B4" s="4"/>
      <c r="C4" s="4"/>
      <c r="D4" s="5" t="str">
        <f aca="false">IF(B4="","",IFERROR(INDEX('Crosswalk IDs'!$C$2:$C$47,MATCH(B4,'Crosswalk IDs'!$A$2:$A$47,0)),"ID NOT IN CROSSWALK"))</f>
        <v/>
      </c>
      <c r="E4" s="5" t="str">
        <f aca="false">IF(B4="","",IFERROR(INDEX('Crosswalk IDs'!$D$2:$D$47,MATCH(B4,'Crosswalk IDs'!$A$2:$A$47,0)),"ID NOT IN CROSSWALK"))</f>
        <v/>
      </c>
      <c r="F4" s="4"/>
      <c r="G4" s="4"/>
      <c r="H4" s="6"/>
      <c r="I4" s="6"/>
      <c r="J4" s="6"/>
      <c r="K4" s="5" t="str">
        <f aca="false">IF(OR(H4="",I4=""),"",H4*I4)</f>
        <v/>
      </c>
      <c r="L4" s="5" t="str">
        <f aca="false">IF(OR(H4="",J4=""),"",H4*J4)</f>
        <v/>
      </c>
      <c r="M4" s="5" t="str">
        <f aca="false">IF(K4="","",MAX(K4,L4))</f>
        <v/>
      </c>
      <c r="N4" s="5" t="str">
        <f aca="false">IF(M4="","",IF(K4&gt;L4,"Rights",IF(L4&gt;K4,"Organisation","Both equal")))</f>
        <v/>
      </c>
      <c r="O4" s="4"/>
      <c r="P4" s="5" t="str">
        <f aca="false">IF(B4="","",IFERROR(INDEX('Crosswalk IDs'!$E$2:$E$47,MATCH(B4,'Crosswalk IDs'!$A$2:$A$47,0)),"ID NOT IN CROSSWALK"))</f>
        <v/>
      </c>
      <c r="Q4" s="4"/>
      <c r="R4" s="5" t="str">
        <f aca="false">IF(P4="","",IFERROR(INDEX(Lists!$F$2:$F$5,MATCH(P4,Lists!$E$2:$E$5,0)),""))</f>
        <v/>
      </c>
      <c r="S4" s="4"/>
      <c r="T4" s="5" t="str">
        <f aca="false">IF(OR(Q4="",R4=""),"",IF(AND(MATCH(Q4,Lists!$A$2:$A$4,0)&gt;MATCH(R4,Lists!$A$2:$A$4,0),S4=""),R4,Q4))</f>
        <v/>
      </c>
      <c r="U4" s="5" t="str">
        <f aca="false">IF(T4="","",MAX(1,H4-(MATCH(T4,Lists!$A$2:$A$4,0)-1)))</f>
        <v/>
      </c>
      <c r="V4" s="5" t="str">
        <f aca="false">IF(U4="","",U4*I4)</f>
        <v/>
      </c>
      <c r="W4" s="5" t="str">
        <f aca="false">IF(U4="","",U4*J4)</f>
        <v/>
      </c>
      <c r="X4" s="5" t="str">
        <f aca="false">IF(U4="","",MAX(V4,W4))</f>
        <v/>
      </c>
      <c r="Y4" s="5" t="str">
        <f aca="false">IF(X4="","",CHOOSE(MAX(IF(X4&gt;=16,4,IF(X4&gt;=10,3,IF(X4&gt;=5,2,1))),IF(OR(I4=5,AND(I4&gt;=4,U4&gt;=2)),3,1)),"Low","Medium","High","Critical"))</f>
        <v/>
      </c>
      <c r="Z4" s="4"/>
      <c r="AA4" s="4"/>
      <c r="AB4" s="7"/>
      <c r="AC4" s="4"/>
      <c r="AD4" s="7"/>
    </row>
    <row r="5" customFormat="false" ht="15" hidden="false" customHeight="false" outlineLevel="0" collapsed="false">
      <c r="A5" s="4"/>
      <c r="B5" s="4"/>
      <c r="C5" s="4"/>
      <c r="D5" s="5" t="str">
        <f aca="false">IF(B5="","",IFERROR(INDEX('Crosswalk IDs'!$C$2:$C$47,MATCH(B5,'Crosswalk IDs'!$A$2:$A$47,0)),"ID NOT IN CROSSWALK"))</f>
        <v/>
      </c>
      <c r="E5" s="5" t="str">
        <f aca="false">IF(B5="","",IFERROR(INDEX('Crosswalk IDs'!$D$2:$D$47,MATCH(B5,'Crosswalk IDs'!$A$2:$A$47,0)),"ID NOT IN CROSSWALK"))</f>
        <v/>
      </c>
      <c r="F5" s="4"/>
      <c r="G5" s="4"/>
      <c r="H5" s="6"/>
      <c r="I5" s="6"/>
      <c r="J5" s="6"/>
      <c r="K5" s="5" t="str">
        <f aca="false">IF(OR(H5="",I5=""),"",H5*I5)</f>
        <v/>
      </c>
      <c r="L5" s="5" t="str">
        <f aca="false">IF(OR(H5="",J5=""),"",H5*J5)</f>
        <v/>
      </c>
      <c r="M5" s="5" t="str">
        <f aca="false">IF(K5="","",MAX(K5,L5))</f>
        <v/>
      </c>
      <c r="N5" s="5" t="str">
        <f aca="false">IF(M5="","",IF(K5&gt;L5,"Rights",IF(L5&gt;K5,"Organisation","Both equal")))</f>
        <v/>
      </c>
      <c r="O5" s="4"/>
      <c r="P5" s="5" t="str">
        <f aca="false">IF(B5="","",IFERROR(INDEX('Crosswalk IDs'!$E$2:$E$47,MATCH(B5,'Crosswalk IDs'!$A$2:$A$47,0)),"ID NOT IN CROSSWALK"))</f>
        <v/>
      </c>
      <c r="Q5" s="4"/>
      <c r="R5" s="5" t="str">
        <f aca="false">IF(P5="","",IFERROR(INDEX(Lists!$F$2:$F$5,MATCH(P5,Lists!$E$2:$E$5,0)),""))</f>
        <v/>
      </c>
      <c r="S5" s="4"/>
      <c r="T5" s="5" t="str">
        <f aca="false">IF(OR(Q5="",R5=""),"",IF(AND(MATCH(Q5,Lists!$A$2:$A$4,0)&gt;MATCH(R5,Lists!$A$2:$A$4,0),S5=""),R5,Q5))</f>
        <v/>
      </c>
      <c r="U5" s="5" t="str">
        <f aca="false">IF(T5="","",MAX(1,H5-(MATCH(T5,Lists!$A$2:$A$4,0)-1)))</f>
        <v/>
      </c>
      <c r="V5" s="5" t="str">
        <f aca="false">IF(U5="","",U5*I5)</f>
        <v/>
      </c>
      <c r="W5" s="5" t="str">
        <f aca="false">IF(U5="","",U5*J5)</f>
        <v/>
      </c>
      <c r="X5" s="5" t="str">
        <f aca="false">IF(U5="","",MAX(V5,W5))</f>
        <v/>
      </c>
      <c r="Y5" s="5" t="str">
        <f aca="false">IF(X5="","",CHOOSE(MAX(IF(X5&gt;=16,4,IF(X5&gt;=10,3,IF(X5&gt;=5,2,1))),IF(OR(I5=5,AND(I5&gt;=4,U5&gt;=2)),3,1)),"Low","Medium","High","Critical"))</f>
        <v/>
      </c>
      <c r="Z5" s="4"/>
      <c r="AA5" s="4"/>
      <c r="AB5" s="7"/>
      <c r="AC5" s="4"/>
      <c r="AD5" s="7"/>
    </row>
    <row r="6" customFormat="false" ht="15" hidden="false" customHeight="false" outlineLevel="0" collapsed="false">
      <c r="A6" s="4"/>
      <c r="B6" s="4"/>
      <c r="C6" s="4"/>
      <c r="D6" s="5" t="str">
        <f aca="false">IF(B6="","",IFERROR(INDEX('Crosswalk IDs'!$C$2:$C$47,MATCH(B6,'Crosswalk IDs'!$A$2:$A$47,0)),"ID NOT IN CROSSWALK"))</f>
        <v/>
      </c>
      <c r="E6" s="5" t="str">
        <f aca="false">IF(B6="","",IFERROR(INDEX('Crosswalk IDs'!$D$2:$D$47,MATCH(B6,'Crosswalk IDs'!$A$2:$A$47,0)),"ID NOT IN CROSSWALK"))</f>
        <v/>
      </c>
      <c r="F6" s="4"/>
      <c r="G6" s="4"/>
      <c r="H6" s="6"/>
      <c r="I6" s="6"/>
      <c r="J6" s="6"/>
      <c r="K6" s="5" t="str">
        <f aca="false">IF(OR(H6="",I6=""),"",H6*I6)</f>
        <v/>
      </c>
      <c r="L6" s="5" t="str">
        <f aca="false">IF(OR(H6="",J6=""),"",H6*J6)</f>
        <v/>
      </c>
      <c r="M6" s="5" t="str">
        <f aca="false">IF(K6="","",MAX(K6,L6))</f>
        <v/>
      </c>
      <c r="N6" s="5" t="str">
        <f aca="false">IF(M6="","",IF(K6&gt;L6,"Rights",IF(L6&gt;K6,"Organisation","Both equal")))</f>
        <v/>
      </c>
      <c r="O6" s="4"/>
      <c r="P6" s="5" t="str">
        <f aca="false">IF(B6="","",IFERROR(INDEX('Crosswalk IDs'!$E$2:$E$47,MATCH(B6,'Crosswalk IDs'!$A$2:$A$47,0)),"ID NOT IN CROSSWALK"))</f>
        <v/>
      </c>
      <c r="Q6" s="4"/>
      <c r="R6" s="5" t="str">
        <f aca="false">IF(P6="","",IFERROR(INDEX(Lists!$F$2:$F$5,MATCH(P6,Lists!$E$2:$E$5,0)),""))</f>
        <v/>
      </c>
      <c r="S6" s="4"/>
      <c r="T6" s="5" t="str">
        <f aca="false">IF(OR(Q6="",R6=""),"",IF(AND(MATCH(Q6,Lists!$A$2:$A$4,0)&gt;MATCH(R6,Lists!$A$2:$A$4,0),S6=""),R6,Q6))</f>
        <v/>
      </c>
      <c r="U6" s="5" t="str">
        <f aca="false">IF(T6="","",MAX(1,H6-(MATCH(T6,Lists!$A$2:$A$4,0)-1)))</f>
        <v/>
      </c>
      <c r="V6" s="5" t="str">
        <f aca="false">IF(U6="","",U6*I6)</f>
        <v/>
      </c>
      <c r="W6" s="5" t="str">
        <f aca="false">IF(U6="","",U6*J6)</f>
        <v/>
      </c>
      <c r="X6" s="5" t="str">
        <f aca="false">IF(U6="","",MAX(V6,W6))</f>
        <v/>
      </c>
      <c r="Y6" s="5" t="str">
        <f aca="false">IF(X6="","",CHOOSE(MAX(IF(X6&gt;=16,4,IF(X6&gt;=10,3,IF(X6&gt;=5,2,1))),IF(OR(I6=5,AND(I6&gt;=4,U6&gt;=2)),3,1)),"Low","Medium","High","Critical"))</f>
        <v/>
      </c>
      <c r="Z6" s="4"/>
      <c r="AA6" s="4"/>
      <c r="AB6" s="7"/>
      <c r="AC6" s="4"/>
      <c r="AD6" s="7"/>
    </row>
    <row r="7" customFormat="false" ht="15" hidden="false" customHeight="false" outlineLevel="0" collapsed="false">
      <c r="A7" s="4"/>
      <c r="B7" s="4"/>
      <c r="C7" s="4"/>
      <c r="D7" s="5" t="str">
        <f aca="false">IF(B7="","",IFERROR(INDEX('Crosswalk IDs'!$C$2:$C$47,MATCH(B7,'Crosswalk IDs'!$A$2:$A$47,0)),"ID NOT IN CROSSWALK"))</f>
        <v/>
      </c>
      <c r="E7" s="5" t="str">
        <f aca="false">IF(B7="","",IFERROR(INDEX('Crosswalk IDs'!$D$2:$D$47,MATCH(B7,'Crosswalk IDs'!$A$2:$A$47,0)),"ID NOT IN CROSSWALK"))</f>
        <v/>
      </c>
      <c r="F7" s="4"/>
      <c r="G7" s="4"/>
      <c r="H7" s="6"/>
      <c r="I7" s="6"/>
      <c r="J7" s="6"/>
      <c r="K7" s="5" t="str">
        <f aca="false">IF(OR(H7="",I7=""),"",H7*I7)</f>
        <v/>
      </c>
      <c r="L7" s="5" t="str">
        <f aca="false">IF(OR(H7="",J7=""),"",H7*J7)</f>
        <v/>
      </c>
      <c r="M7" s="5" t="str">
        <f aca="false">IF(K7="","",MAX(K7,L7))</f>
        <v/>
      </c>
      <c r="N7" s="5" t="str">
        <f aca="false">IF(M7="","",IF(K7&gt;L7,"Rights",IF(L7&gt;K7,"Organisation","Both equal")))</f>
        <v/>
      </c>
      <c r="O7" s="4"/>
      <c r="P7" s="5" t="str">
        <f aca="false">IF(B7="","",IFERROR(INDEX('Crosswalk IDs'!$E$2:$E$47,MATCH(B7,'Crosswalk IDs'!$A$2:$A$47,0)),"ID NOT IN CROSSWALK"))</f>
        <v/>
      </c>
      <c r="Q7" s="4"/>
      <c r="R7" s="5" t="str">
        <f aca="false">IF(P7="","",IFERROR(INDEX(Lists!$F$2:$F$5,MATCH(P7,Lists!$E$2:$E$5,0)),""))</f>
        <v/>
      </c>
      <c r="S7" s="4"/>
      <c r="T7" s="5" t="str">
        <f aca="false">IF(OR(Q7="",R7=""),"",IF(AND(MATCH(Q7,Lists!$A$2:$A$4,0)&gt;MATCH(R7,Lists!$A$2:$A$4,0),S7=""),R7,Q7))</f>
        <v/>
      </c>
      <c r="U7" s="5" t="str">
        <f aca="false">IF(T7="","",MAX(1,H7-(MATCH(T7,Lists!$A$2:$A$4,0)-1)))</f>
        <v/>
      </c>
      <c r="V7" s="5" t="str">
        <f aca="false">IF(U7="","",U7*I7)</f>
        <v/>
      </c>
      <c r="W7" s="5" t="str">
        <f aca="false">IF(U7="","",U7*J7)</f>
        <v/>
      </c>
      <c r="X7" s="5" t="str">
        <f aca="false">IF(U7="","",MAX(V7,W7))</f>
        <v/>
      </c>
      <c r="Y7" s="5" t="str">
        <f aca="false">IF(X7="","",CHOOSE(MAX(IF(X7&gt;=16,4,IF(X7&gt;=10,3,IF(X7&gt;=5,2,1))),IF(OR(I7=5,AND(I7&gt;=4,U7&gt;=2)),3,1)),"Low","Medium","High","Critical"))</f>
        <v/>
      </c>
      <c r="Z7" s="4"/>
      <c r="AA7" s="4"/>
      <c r="AB7" s="7"/>
      <c r="AC7" s="4"/>
      <c r="AD7" s="7"/>
    </row>
    <row r="8" customFormat="false" ht="15" hidden="false" customHeight="false" outlineLevel="0" collapsed="false">
      <c r="A8" s="4"/>
      <c r="B8" s="4"/>
      <c r="C8" s="4"/>
      <c r="D8" s="5" t="str">
        <f aca="false">IF(B8="","",IFERROR(INDEX('Crosswalk IDs'!$C$2:$C$47,MATCH(B8,'Crosswalk IDs'!$A$2:$A$47,0)),"ID NOT IN CROSSWALK"))</f>
        <v/>
      </c>
      <c r="E8" s="5" t="str">
        <f aca="false">IF(B8="","",IFERROR(INDEX('Crosswalk IDs'!$D$2:$D$47,MATCH(B8,'Crosswalk IDs'!$A$2:$A$47,0)),"ID NOT IN CROSSWALK"))</f>
        <v/>
      </c>
      <c r="F8" s="4"/>
      <c r="G8" s="4"/>
      <c r="H8" s="6"/>
      <c r="I8" s="6"/>
      <c r="J8" s="6"/>
      <c r="K8" s="5" t="str">
        <f aca="false">IF(OR(H8="",I8=""),"",H8*I8)</f>
        <v/>
      </c>
      <c r="L8" s="5" t="str">
        <f aca="false">IF(OR(H8="",J8=""),"",H8*J8)</f>
        <v/>
      </c>
      <c r="M8" s="5" t="str">
        <f aca="false">IF(K8="","",MAX(K8,L8))</f>
        <v/>
      </c>
      <c r="N8" s="5" t="str">
        <f aca="false">IF(M8="","",IF(K8&gt;L8,"Rights",IF(L8&gt;K8,"Organisation","Both equal")))</f>
        <v/>
      </c>
      <c r="O8" s="4"/>
      <c r="P8" s="5" t="str">
        <f aca="false">IF(B8="","",IFERROR(INDEX('Crosswalk IDs'!$E$2:$E$47,MATCH(B8,'Crosswalk IDs'!$A$2:$A$47,0)),"ID NOT IN CROSSWALK"))</f>
        <v/>
      </c>
      <c r="Q8" s="4"/>
      <c r="R8" s="5" t="str">
        <f aca="false">IF(P8="","",IFERROR(INDEX(Lists!$F$2:$F$5,MATCH(P8,Lists!$E$2:$E$5,0)),""))</f>
        <v/>
      </c>
      <c r="S8" s="4"/>
      <c r="T8" s="5" t="str">
        <f aca="false">IF(OR(Q8="",R8=""),"",IF(AND(MATCH(Q8,Lists!$A$2:$A$4,0)&gt;MATCH(R8,Lists!$A$2:$A$4,0),S8=""),R8,Q8))</f>
        <v/>
      </c>
      <c r="U8" s="5" t="str">
        <f aca="false">IF(T8="","",MAX(1,H8-(MATCH(T8,Lists!$A$2:$A$4,0)-1)))</f>
        <v/>
      </c>
      <c r="V8" s="5" t="str">
        <f aca="false">IF(U8="","",U8*I8)</f>
        <v/>
      </c>
      <c r="W8" s="5" t="str">
        <f aca="false">IF(U8="","",U8*J8)</f>
        <v/>
      </c>
      <c r="X8" s="5" t="str">
        <f aca="false">IF(U8="","",MAX(V8,W8))</f>
        <v/>
      </c>
      <c r="Y8" s="5" t="str">
        <f aca="false">IF(X8="","",CHOOSE(MAX(IF(X8&gt;=16,4,IF(X8&gt;=10,3,IF(X8&gt;=5,2,1))),IF(OR(I8=5,AND(I8&gt;=4,U8&gt;=2)),3,1)),"Low","Medium","High","Critical"))</f>
        <v/>
      </c>
      <c r="Z8" s="4"/>
      <c r="AA8" s="4"/>
      <c r="AB8" s="7"/>
      <c r="AC8" s="4"/>
      <c r="AD8" s="7"/>
    </row>
    <row r="9" customFormat="false" ht="15" hidden="false" customHeight="false" outlineLevel="0" collapsed="false">
      <c r="A9" s="4"/>
      <c r="B9" s="4"/>
      <c r="C9" s="4"/>
      <c r="D9" s="5" t="str">
        <f aca="false">IF(B9="","",IFERROR(INDEX('Crosswalk IDs'!$C$2:$C$47,MATCH(B9,'Crosswalk IDs'!$A$2:$A$47,0)),"ID NOT IN CROSSWALK"))</f>
        <v/>
      </c>
      <c r="E9" s="5" t="str">
        <f aca="false">IF(B9="","",IFERROR(INDEX('Crosswalk IDs'!$D$2:$D$47,MATCH(B9,'Crosswalk IDs'!$A$2:$A$47,0)),"ID NOT IN CROSSWALK"))</f>
        <v/>
      </c>
      <c r="F9" s="4"/>
      <c r="G9" s="4"/>
      <c r="H9" s="6"/>
      <c r="I9" s="6"/>
      <c r="J9" s="6"/>
      <c r="K9" s="5" t="str">
        <f aca="false">IF(OR(H9="",I9=""),"",H9*I9)</f>
        <v/>
      </c>
      <c r="L9" s="5" t="str">
        <f aca="false">IF(OR(H9="",J9=""),"",H9*J9)</f>
        <v/>
      </c>
      <c r="M9" s="5" t="str">
        <f aca="false">IF(K9="","",MAX(K9,L9))</f>
        <v/>
      </c>
      <c r="N9" s="5" t="str">
        <f aca="false">IF(M9="","",IF(K9&gt;L9,"Rights",IF(L9&gt;K9,"Organisation","Both equal")))</f>
        <v/>
      </c>
      <c r="O9" s="4"/>
      <c r="P9" s="5" t="str">
        <f aca="false">IF(B9="","",IFERROR(INDEX('Crosswalk IDs'!$E$2:$E$47,MATCH(B9,'Crosswalk IDs'!$A$2:$A$47,0)),"ID NOT IN CROSSWALK"))</f>
        <v/>
      </c>
      <c r="Q9" s="4"/>
      <c r="R9" s="5" t="str">
        <f aca="false">IF(P9="","",IFERROR(INDEX(Lists!$F$2:$F$5,MATCH(P9,Lists!$E$2:$E$5,0)),""))</f>
        <v/>
      </c>
      <c r="S9" s="4"/>
      <c r="T9" s="5" t="str">
        <f aca="false">IF(OR(Q9="",R9=""),"",IF(AND(MATCH(Q9,Lists!$A$2:$A$4,0)&gt;MATCH(R9,Lists!$A$2:$A$4,0),S9=""),R9,Q9))</f>
        <v/>
      </c>
      <c r="U9" s="5" t="str">
        <f aca="false">IF(T9="","",MAX(1,H9-(MATCH(T9,Lists!$A$2:$A$4,0)-1)))</f>
        <v/>
      </c>
      <c r="V9" s="5" t="str">
        <f aca="false">IF(U9="","",U9*I9)</f>
        <v/>
      </c>
      <c r="W9" s="5" t="str">
        <f aca="false">IF(U9="","",U9*J9)</f>
        <v/>
      </c>
      <c r="X9" s="5" t="str">
        <f aca="false">IF(U9="","",MAX(V9,W9))</f>
        <v/>
      </c>
      <c r="Y9" s="5" t="str">
        <f aca="false">IF(X9="","",CHOOSE(MAX(IF(X9&gt;=16,4,IF(X9&gt;=10,3,IF(X9&gt;=5,2,1))),IF(OR(I9=5,AND(I9&gt;=4,U9&gt;=2)),3,1)),"Low","Medium","High","Critical"))</f>
        <v/>
      </c>
      <c r="Z9" s="4"/>
      <c r="AA9" s="4"/>
      <c r="AB9" s="7"/>
      <c r="AC9" s="4"/>
      <c r="AD9" s="7"/>
    </row>
    <row r="10" customFormat="false" ht="15" hidden="false" customHeight="false" outlineLevel="0" collapsed="false">
      <c r="A10" s="4"/>
      <c r="B10" s="4"/>
      <c r="C10" s="4"/>
      <c r="D10" s="5" t="str">
        <f aca="false">IF(B10="","",IFERROR(INDEX('Crosswalk IDs'!$C$2:$C$47,MATCH(B10,'Crosswalk IDs'!$A$2:$A$47,0)),"ID NOT IN CROSSWALK"))</f>
        <v/>
      </c>
      <c r="E10" s="5" t="str">
        <f aca="false">IF(B10="","",IFERROR(INDEX('Crosswalk IDs'!$D$2:$D$47,MATCH(B10,'Crosswalk IDs'!$A$2:$A$47,0)),"ID NOT IN CROSSWALK"))</f>
        <v/>
      </c>
      <c r="F10" s="4"/>
      <c r="G10" s="4"/>
      <c r="H10" s="6"/>
      <c r="I10" s="6"/>
      <c r="J10" s="6"/>
      <c r="K10" s="5" t="str">
        <f aca="false">IF(OR(H10="",I10=""),"",H10*I10)</f>
        <v/>
      </c>
      <c r="L10" s="5" t="str">
        <f aca="false">IF(OR(H10="",J10=""),"",H10*J10)</f>
        <v/>
      </c>
      <c r="M10" s="5" t="str">
        <f aca="false">IF(K10="","",MAX(K10,L10))</f>
        <v/>
      </c>
      <c r="N10" s="5" t="str">
        <f aca="false">IF(M10="","",IF(K10&gt;L10,"Rights",IF(L10&gt;K10,"Organisation","Both equal")))</f>
        <v/>
      </c>
      <c r="O10" s="4"/>
      <c r="P10" s="5" t="str">
        <f aca="false">IF(B10="","",IFERROR(INDEX('Crosswalk IDs'!$E$2:$E$47,MATCH(B10,'Crosswalk IDs'!$A$2:$A$47,0)),"ID NOT IN CROSSWALK"))</f>
        <v/>
      </c>
      <c r="Q10" s="4"/>
      <c r="R10" s="5" t="str">
        <f aca="false">IF(P10="","",IFERROR(INDEX(Lists!$F$2:$F$5,MATCH(P10,Lists!$E$2:$E$5,0)),""))</f>
        <v/>
      </c>
      <c r="S10" s="4"/>
      <c r="T10" s="5" t="str">
        <f aca="false">IF(OR(Q10="",R10=""),"",IF(AND(MATCH(Q10,Lists!$A$2:$A$4,0)&gt;MATCH(R10,Lists!$A$2:$A$4,0),S10=""),R10,Q10))</f>
        <v/>
      </c>
      <c r="U10" s="5" t="str">
        <f aca="false">IF(T10="","",MAX(1,H10-(MATCH(T10,Lists!$A$2:$A$4,0)-1)))</f>
        <v/>
      </c>
      <c r="V10" s="5" t="str">
        <f aca="false">IF(U10="","",U10*I10)</f>
        <v/>
      </c>
      <c r="W10" s="5" t="str">
        <f aca="false">IF(U10="","",U10*J10)</f>
        <v/>
      </c>
      <c r="X10" s="5" t="str">
        <f aca="false">IF(U10="","",MAX(V10,W10))</f>
        <v/>
      </c>
      <c r="Y10" s="5" t="str">
        <f aca="false">IF(X10="","",CHOOSE(MAX(IF(X10&gt;=16,4,IF(X10&gt;=10,3,IF(X10&gt;=5,2,1))),IF(OR(I10=5,AND(I10&gt;=4,U10&gt;=2)),3,1)),"Low","Medium","High","Critical"))</f>
        <v/>
      </c>
      <c r="Z10" s="4"/>
      <c r="AA10" s="4"/>
      <c r="AB10" s="7"/>
      <c r="AC10" s="4"/>
      <c r="AD10" s="7"/>
    </row>
    <row r="11" customFormat="false" ht="15" hidden="false" customHeight="false" outlineLevel="0" collapsed="false">
      <c r="A11" s="4"/>
      <c r="B11" s="4"/>
      <c r="C11" s="4"/>
      <c r="D11" s="5" t="str">
        <f aca="false">IF(B11="","",IFERROR(INDEX('Crosswalk IDs'!$C$2:$C$47,MATCH(B11,'Crosswalk IDs'!$A$2:$A$47,0)),"ID NOT IN CROSSWALK"))</f>
        <v/>
      </c>
      <c r="E11" s="5" t="str">
        <f aca="false">IF(B11="","",IFERROR(INDEX('Crosswalk IDs'!$D$2:$D$47,MATCH(B11,'Crosswalk IDs'!$A$2:$A$47,0)),"ID NOT IN CROSSWALK"))</f>
        <v/>
      </c>
      <c r="F11" s="4"/>
      <c r="G11" s="4"/>
      <c r="H11" s="6"/>
      <c r="I11" s="6"/>
      <c r="J11" s="6"/>
      <c r="K11" s="5" t="str">
        <f aca="false">IF(OR(H11="",I11=""),"",H11*I11)</f>
        <v/>
      </c>
      <c r="L11" s="5" t="str">
        <f aca="false">IF(OR(H11="",J11=""),"",H11*J11)</f>
        <v/>
      </c>
      <c r="M11" s="5" t="str">
        <f aca="false">IF(K11="","",MAX(K11,L11))</f>
        <v/>
      </c>
      <c r="N11" s="5" t="str">
        <f aca="false">IF(M11="","",IF(K11&gt;L11,"Rights",IF(L11&gt;K11,"Organisation","Both equal")))</f>
        <v/>
      </c>
      <c r="O11" s="4"/>
      <c r="P11" s="5" t="str">
        <f aca="false">IF(B11="","",IFERROR(INDEX('Crosswalk IDs'!$E$2:$E$47,MATCH(B11,'Crosswalk IDs'!$A$2:$A$47,0)),"ID NOT IN CROSSWALK"))</f>
        <v/>
      </c>
      <c r="Q11" s="4"/>
      <c r="R11" s="5" t="str">
        <f aca="false">IF(P11="","",IFERROR(INDEX(Lists!$F$2:$F$5,MATCH(P11,Lists!$E$2:$E$5,0)),""))</f>
        <v/>
      </c>
      <c r="S11" s="4"/>
      <c r="T11" s="5" t="str">
        <f aca="false">IF(OR(Q11="",R11=""),"",IF(AND(MATCH(Q11,Lists!$A$2:$A$4,0)&gt;MATCH(R11,Lists!$A$2:$A$4,0),S11=""),R11,Q11))</f>
        <v/>
      </c>
      <c r="U11" s="5" t="str">
        <f aca="false">IF(T11="","",MAX(1,H11-(MATCH(T11,Lists!$A$2:$A$4,0)-1)))</f>
        <v/>
      </c>
      <c r="V11" s="5" t="str">
        <f aca="false">IF(U11="","",U11*I11)</f>
        <v/>
      </c>
      <c r="W11" s="5" t="str">
        <f aca="false">IF(U11="","",U11*J11)</f>
        <v/>
      </c>
      <c r="X11" s="5" t="str">
        <f aca="false">IF(U11="","",MAX(V11,W11))</f>
        <v/>
      </c>
      <c r="Y11" s="5" t="str">
        <f aca="false">IF(X11="","",CHOOSE(MAX(IF(X11&gt;=16,4,IF(X11&gt;=10,3,IF(X11&gt;=5,2,1))),IF(OR(I11=5,AND(I11&gt;=4,U11&gt;=2)),3,1)),"Low","Medium","High","Critical"))</f>
        <v/>
      </c>
      <c r="Z11" s="4"/>
      <c r="AA11" s="4"/>
      <c r="AB11" s="7"/>
      <c r="AC11" s="4"/>
      <c r="AD11" s="7"/>
    </row>
    <row r="12" customFormat="false" ht="15" hidden="false" customHeight="false" outlineLevel="0" collapsed="false">
      <c r="A12" s="4"/>
      <c r="B12" s="4"/>
      <c r="C12" s="4"/>
      <c r="D12" s="5" t="str">
        <f aca="false">IF(B12="","",IFERROR(INDEX('Crosswalk IDs'!$C$2:$C$47,MATCH(B12,'Crosswalk IDs'!$A$2:$A$47,0)),"ID NOT IN CROSSWALK"))</f>
        <v/>
      </c>
      <c r="E12" s="5" t="str">
        <f aca="false">IF(B12="","",IFERROR(INDEX('Crosswalk IDs'!$D$2:$D$47,MATCH(B12,'Crosswalk IDs'!$A$2:$A$47,0)),"ID NOT IN CROSSWALK"))</f>
        <v/>
      </c>
      <c r="F12" s="4"/>
      <c r="G12" s="4"/>
      <c r="H12" s="6"/>
      <c r="I12" s="6"/>
      <c r="J12" s="6"/>
      <c r="K12" s="5" t="str">
        <f aca="false">IF(OR(H12="",I12=""),"",H12*I12)</f>
        <v/>
      </c>
      <c r="L12" s="5" t="str">
        <f aca="false">IF(OR(H12="",J12=""),"",H12*J12)</f>
        <v/>
      </c>
      <c r="M12" s="5" t="str">
        <f aca="false">IF(K12="","",MAX(K12,L12))</f>
        <v/>
      </c>
      <c r="N12" s="5" t="str">
        <f aca="false">IF(M12="","",IF(K12&gt;L12,"Rights",IF(L12&gt;K12,"Organisation","Both equal")))</f>
        <v/>
      </c>
      <c r="O12" s="4"/>
      <c r="P12" s="5" t="str">
        <f aca="false">IF(B12="","",IFERROR(INDEX('Crosswalk IDs'!$E$2:$E$47,MATCH(B12,'Crosswalk IDs'!$A$2:$A$47,0)),"ID NOT IN CROSSWALK"))</f>
        <v/>
      </c>
      <c r="Q12" s="4"/>
      <c r="R12" s="5" t="str">
        <f aca="false">IF(P12="","",IFERROR(INDEX(Lists!$F$2:$F$5,MATCH(P12,Lists!$E$2:$E$5,0)),""))</f>
        <v/>
      </c>
      <c r="S12" s="4"/>
      <c r="T12" s="5" t="str">
        <f aca="false">IF(OR(Q12="",R12=""),"",IF(AND(MATCH(Q12,Lists!$A$2:$A$4,0)&gt;MATCH(R12,Lists!$A$2:$A$4,0),S12=""),R12,Q12))</f>
        <v/>
      </c>
      <c r="U12" s="5" t="str">
        <f aca="false">IF(T12="","",MAX(1,H12-(MATCH(T12,Lists!$A$2:$A$4,0)-1)))</f>
        <v/>
      </c>
      <c r="V12" s="5" t="str">
        <f aca="false">IF(U12="","",U12*I12)</f>
        <v/>
      </c>
      <c r="W12" s="5" t="str">
        <f aca="false">IF(U12="","",U12*J12)</f>
        <v/>
      </c>
      <c r="X12" s="5" t="str">
        <f aca="false">IF(U12="","",MAX(V12,W12))</f>
        <v/>
      </c>
      <c r="Y12" s="5" t="str">
        <f aca="false">IF(X12="","",CHOOSE(MAX(IF(X12&gt;=16,4,IF(X12&gt;=10,3,IF(X12&gt;=5,2,1))),IF(OR(I12=5,AND(I12&gt;=4,U12&gt;=2)),3,1)),"Low","Medium","High","Critical"))</f>
        <v/>
      </c>
      <c r="Z12" s="4"/>
      <c r="AA12" s="4"/>
      <c r="AB12" s="7"/>
      <c r="AC12" s="4"/>
      <c r="AD12" s="7"/>
    </row>
    <row r="13" customFormat="false" ht="15" hidden="false" customHeight="false" outlineLevel="0" collapsed="false">
      <c r="A13" s="4"/>
      <c r="B13" s="4"/>
      <c r="C13" s="4"/>
      <c r="D13" s="5" t="str">
        <f aca="false">IF(B13="","",IFERROR(INDEX('Crosswalk IDs'!$C$2:$C$47,MATCH(B13,'Crosswalk IDs'!$A$2:$A$47,0)),"ID NOT IN CROSSWALK"))</f>
        <v/>
      </c>
      <c r="E13" s="5" t="str">
        <f aca="false">IF(B13="","",IFERROR(INDEX('Crosswalk IDs'!$D$2:$D$47,MATCH(B13,'Crosswalk IDs'!$A$2:$A$47,0)),"ID NOT IN CROSSWALK"))</f>
        <v/>
      </c>
      <c r="F13" s="4"/>
      <c r="G13" s="4"/>
      <c r="H13" s="6"/>
      <c r="I13" s="6"/>
      <c r="J13" s="6"/>
      <c r="K13" s="5" t="str">
        <f aca="false">IF(OR(H13="",I13=""),"",H13*I13)</f>
        <v/>
      </c>
      <c r="L13" s="5" t="str">
        <f aca="false">IF(OR(H13="",J13=""),"",H13*J13)</f>
        <v/>
      </c>
      <c r="M13" s="5" t="str">
        <f aca="false">IF(K13="","",MAX(K13,L13))</f>
        <v/>
      </c>
      <c r="N13" s="5" t="str">
        <f aca="false">IF(M13="","",IF(K13&gt;L13,"Rights",IF(L13&gt;K13,"Organisation","Both equal")))</f>
        <v/>
      </c>
      <c r="O13" s="4"/>
      <c r="P13" s="5" t="str">
        <f aca="false">IF(B13="","",IFERROR(INDEX('Crosswalk IDs'!$E$2:$E$47,MATCH(B13,'Crosswalk IDs'!$A$2:$A$47,0)),"ID NOT IN CROSSWALK"))</f>
        <v/>
      </c>
      <c r="Q13" s="4"/>
      <c r="R13" s="5" t="str">
        <f aca="false">IF(P13="","",IFERROR(INDEX(Lists!$F$2:$F$5,MATCH(P13,Lists!$E$2:$E$5,0)),""))</f>
        <v/>
      </c>
      <c r="S13" s="4"/>
      <c r="T13" s="5" t="str">
        <f aca="false">IF(OR(Q13="",R13=""),"",IF(AND(MATCH(Q13,Lists!$A$2:$A$4,0)&gt;MATCH(R13,Lists!$A$2:$A$4,0),S13=""),R13,Q13))</f>
        <v/>
      </c>
      <c r="U13" s="5" t="str">
        <f aca="false">IF(T13="","",MAX(1,H13-(MATCH(T13,Lists!$A$2:$A$4,0)-1)))</f>
        <v/>
      </c>
      <c r="V13" s="5" t="str">
        <f aca="false">IF(U13="","",U13*I13)</f>
        <v/>
      </c>
      <c r="W13" s="5" t="str">
        <f aca="false">IF(U13="","",U13*J13)</f>
        <v/>
      </c>
      <c r="X13" s="5" t="str">
        <f aca="false">IF(U13="","",MAX(V13,W13))</f>
        <v/>
      </c>
      <c r="Y13" s="5" t="str">
        <f aca="false">IF(X13="","",CHOOSE(MAX(IF(X13&gt;=16,4,IF(X13&gt;=10,3,IF(X13&gt;=5,2,1))),IF(OR(I13=5,AND(I13&gt;=4,U13&gt;=2)),3,1)),"Low","Medium","High","Critical"))</f>
        <v/>
      </c>
      <c r="Z13" s="4"/>
      <c r="AA13" s="4"/>
      <c r="AB13" s="7"/>
      <c r="AC13" s="4"/>
      <c r="AD13" s="7"/>
    </row>
    <row r="14" customFormat="false" ht="15" hidden="false" customHeight="false" outlineLevel="0" collapsed="false">
      <c r="A14" s="4"/>
      <c r="B14" s="4"/>
      <c r="C14" s="4"/>
      <c r="D14" s="5" t="str">
        <f aca="false">IF(B14="","",IFERROR(INDEX('Crosswalk IDs'!$C$2:$C$47,MATCH(B14,'Crosswalk IDs'!$A$2:$A$47,0)),"ID NOT IN CROSSWALK"))</f>
        <v/>
      </c>
      <c r="E14" s="5" t="str">
        <f aca="false">IF(B14="","",IFERROR(INDEX('Crosswalk IDs'!$D$2:$D$47,MATCH(B14,'Crosswalk IDs'!$A$2:$A$47,0)),"ID NOT IN CROSSWALK"))</f>
        <v/>
      </c>
      <c r="F14" s="4"/>
      <c r="G14" s="4"/>
      <c r="H14" s="6"/>
      <c r="I14" s="6"/>
      <c r="J14" s="6"/>
      <c r="K14" s="5" t="str">
        <f aca="false">IF(OR(H14="",I14=""),"",H14*I14)</f>
        <v/>
      </c>
      <c r="L14" s="5" t="str">
        <f aca="false">IF(OR(H14="",J14=""),"",H14*J14)</f>
        <v/>
      </c>
      <c r="M14" s="5" t="str">
        <f aca="false">IF(K14="","",MAX(K14,L14))</f>
        <v/>
      </c>
      <c r="N14" s="5" t="str">
        <f aca="false">IF(M14="","",IF(K14&gt;L14,"Rights",IF(L14&gt;K14,"Organisation","Both equal")))</f>
        <v/>
      </c>
      <c r="O14" s="4"/>
      <c r="P14" s="5" t="str">
        <f aca="false">IF(B14="","",IFERROR(INDEX('Crosswalk IDs'!$E$2:$E$47,MATCH(B14,'Crosswalk IDs'!$A$2:$A$47,0)),"ID NOT IN CROSSWALK"))</f>
        <v/>
      </c>
      <c r="Q14" s="4"/>
      <c r="R14" s="5" t="str">
        <f aca="false">IF(P14="","",IFERROR(INDEX(Lists!$F$2:$F$5,MATCH(P14,Lists!$E$2:$E$5,0)),""))</f>
        <v/>
      </c>
      <c r="S14" s="4"/>
      <c r="T14" s="5" t="str">
        <f aca="false">IF(OR(Q14="",R14=""),"",IF(AND(MATCH(Q14,Lists!$A$2:$A$4,0)&gt;MATCH(R14,Lists!$A$2:$A$4,0),S14=""),R14,Q14))</f>
        <v/>
      </c>
      <c r="U14" s="5" t="str">
        <f aca="false">IF(T14="","",MAX(1,H14-(MATCH(T14,Lists!$A$2:$A$4,0)-1)))</f>
        <v/>
      </c>
      <c r="V14" s="5" t="str">
        <f aca="false">IF(U14="","",U14*I14)</f>
        <v/>
      </c>
      <c r="W14" s="5" t="str">
        <f aca="false">IF(U14="","",U14*J14)</f>
        <v/>
      </c>
      <c r="X14" s="5" t="str">
        <f aca="false">IF(U14="","",MAX(V14,W14))</f>
        <v/>
      </c>
      <c r="Y14" s="5" t="str">
        <f aca="false">IF(X14="","",CHOOSE(MAX(IF(X14&gt;=16,4,IF(X14&gt;=10,3,IF(X14&gt;=5,2,1))),IF(OR(I14=5,AND(I14&gt;=4,U14&gt;=2)),3,1)),"Low","Medium","High","Critical"))</f>
        <v/>
      </c>
      <c r="Z14" s="4"/>
      <c r="AA14" s="4"/>
      <c r="AB14" s="7"/>
      <c r="AC14" s="4"/>
      <c r="AD14" s="7"/>
    </row>
    <row r="15" customFormat="false" ht="15" hidden="false" customHeight="false" outlineLevel="0" collapsed="false">
      <c r="A15" s="4"/>
      <c r="B15" s="4"/>
      <c r="C15" s="4"/>
      <c r="D15" s="5" t="str">
        <f aca="false">IF(B15="","",IFERROR(INDEX('Crosswalk IDs'!$C$2:$C$47,MATCH(B15,'Crosswalk IDs'!$A$2:$A$47,0)),"ID NOT IN CROSSWALK"))</f>
        <v/>
      </c>
      <c r="E15" s="5" t="str">
        <f aca="false">IF(B15="","",IFERROR(INDEX('Crosswalk IDs'!$D$2:$D$47,MATCH(B15,'Crosswalk IDs'!$A$2:$A$47,0)),"ID NOT IN CROSSWALK"))</f>
        <v/>
      </c>
      <c r="F15" s="4"/>
      <c r="G15" s="4"/>
      <c r="H15" s="6"/>
      <c r="I15" s="6"/>
      <c r="J15" s="6"/>
      <c r="K15" s="5" t="str">
        <f aca="false">IF(OR(H15="",I15=""),"",H15*I15)</f>
        <v/>
      </c>
      <c r="L15" s="5" t="str">
        <f aca="false">IF(OR(H15="",J15=""),"",H15*J15)</f>
        <v/>
      </c>
      <c r="M15" s="5" t="str">
        <f aca="false">IF(K15="","",MAX(K15,L15))</f>
        <v/>
      </c>
      <c r="N15" s="5" t="str">
        <f aca="false">IF(M15="","",IF(K15&gt;L15,"Rights",IF(L15&gt;K15,"Organisation","Both equal")))</f>
        <v/>
      </c>
      <c r="O15" s="4"/>
      <c r="P15" s="5" t="str">
        <f aca="false">IF(B15="","",IFERROR(INDEX('Crosswalk IDs'!$E$2:$E$47,MATCH(B15,'Crosswalk IDs'!$A$2:$A$47,0)),"ID NOT IN CROSSWALK"))</f>
        <v/>
      </c>
      <c r="Q15" s="4"/>
      <c r="R15" s="5" t="str">
        <f aca="false">IF(P15="","",IFERROR(INDEX(Lists!$F$2:$F$5,MATCH(P15,Lists!$E$2:$E$5,0)),""))</f>
        <v/>
      </c>
      <c r="S15" s="4"/>
      <c r="T15" s="5" t="str">
        <f aca="false">IF(OR(Q15="",R15=""),"",IF(AND(MATCH(Q15,Lists!$A$2:$A$4,0)&gt;MATCH(R15,Lists!$A$2:$A$4,0),S15=""),R15,Q15))</f>
        <v/>
      </c>
      <c r="U15" s="5" t="str">
        <f aca="false">IF(T15="","",MAX(1,H15-(MATCH(T15,Lists!$A$2:$A$4,0)-1)))</f>
        <v/>
      </c>
      <c r="V15" s="5" t="str">
        <f aca="false">IF(U15="","",U15*I15)</f>
        <v/>
      </c>
      <c r="W15" s="5" t="str">
        <f aca="false">IF(U15="","",U15*J15)</f>
        <v/>
      </c>
      <c r="X15" s="5" t="str">
        <f aca="false">IF(U15="","",MAX(V15,W15))</f>
        <v/>
      </c>
      <c r="Y15" s="5" t="str">
        <f aca="false">IF(X15="","",CHOOSE(MAX(IF(X15&gt;=16,4,IF(X15&gt;=10,3,IF(X15&gt;=5,2,1))),IF(OR(I15=5,AND(I15&gt;=4,U15&gt;=2)),3,1)),"Low","Medium","High","Critical"))</f>
        <v/>
      </c>
      <c r="Z15" s="4"/>
      <c r="AA15" s="4"/>
      <c r="AB15" s="7"/>
      <c r="AC15" s="4"/>
      <c r="AD15" s="7"/>
    </row>
    <row r="16" customFormat="false" ht="15" hidden="false" customHeight="false" outlineLevel="0" collapsed="false">
      <c r="A16" s="4"/>
      <c r="B16" s="4"/>
      <c r="C16" s="4"/>
      <c r="D16" s="5" t="str">
        <f aca="false">IF(B16="","",IFERROR(INDEX('Crosswalk IDs'!$C$2:$C$47,MATCH(B16,'Crosswalk IDs'!$A$2:$A$47,0)),"ID NOT IN CROSSWALK"))</f>
        <v/>
      </c>
      <c r="E16" s="5" t="str">
        <f aca="false">IF(B16="","",IFERROR(INDEX('Crosswalk IDs'!$D$2:$D$47,MATCH(B16,'Crosswalk IDs'!$A$2:$A$47,0)),"ID NOT IN CROSSWALK"))</f>
        <v/>
      </c>
      <c r="F16" s="4"/>
      <c r="G16" s="4"/>
      <c r="H16" s="6"/>
      <c r="I16" s="6"/>
      <c r="J16" s="6"/>
      <c r="K16" s="5" t="str">
        <f aca="false">IF(OR(H16="",I16=""),"",H16*I16)</f>
        <v/>
      </c>
      <c r="L16" s="5" t="str">
        <f aca="false">IF(OR(H16="",J16=""),"",H16*J16)</f>
        <v/>
      </c>
      <c r="M16" s="5" t="str">
        <f aca="false">IF(K16="","",MAX(K16,L16))</f>
        <v/>
      </c>
      <c r="N16" s="5" t="str">
        <f aca="false">IF(M16="","",IF(K16&gt;L16,"Rights",IF(L16&gt;K16,"Organisation","Both equal")))</f>
        <v/>
      </c>
      <c r="O16" s="4"/>
      <c r="P16" s="5" t="str">
        <f aca="false">IF(B16="","",IFERROR(INDEX('Crosswalk IDs'!$E$2:$E$47,MATCH(B16,'Crosswalk IDs'!$A$2:$A$47,0)),"ID NOT IN CROSSWALK"))</f>
        <v/>
      </c>
      <c r="Q16" s="4"/>
      <c r="R16" s="5" t="str">
        <f aca="false">IF(P16="","",IFERROR(INDEX(Lists!$F$2:$F$5,MATCH(P16,Lists!$E$2:$E$5,0)),""))</f>
        <v/>
      </c>
      <c r="S16" s="4"/>
      <c r="T16" s="5" t="str">
        <f aca="false">IF(OR(Q16="",R16=""),"",IF(AND(MATCH(Q16,Lists!$A$2:$A$4,0)&gt;MATCH(R16,Lists!$A$2:$A$4,0),S16=""),R16,Q16))</f>
        <v/>
      </c>
      <c r="U16" s="5" t="str">
        <f aca="false">IF(T16="","",MAX(1,H16-(MATCH(T16,Lists!$A$2:$A$4,0)-1)))</f>
        <v/>
      </c>
      <c r="V16" s="5" t="str">
        <f aca="false">IF(U16="","",U16*I16)</f>
        <v/>
      </c>
      <c r="W16" s="5" t="str">
        <f aca="false">IF(U16="","",U16*J16)</f>
        <v/>
      </c>
      <c r="X16" s="5" t="str">
        <f aca="false">IF(U16="","",MAX(V16,W16))</f>
        <v/>
      </c>
      <c r="Y16" s="5" t="str">
        <f aca="false">IF(X16="","",CHOOSE(MAX(IF(X16&gt;=16,4,IF(X16&gt;=10,3,IF(X16&gt;=5,2,1))),IF(OR(I16=5,AND(I16&gt;=4,U16&gt;=2)),3,1)),"Low","Medium","High","Critical"))</f>
        <v/>
      </c>
      <c r="Z16" s="4"/>
      <c r="AA16" s="4"/>
      <c r="AB16" s="7"/>
      <c r="AC16" s="4"/>
      <c r="AD16" s="7"/>
    </row>
    <row r="17" customFormat="false" ht="15" hidden="false" customHeight="false" outlineLevel="0" collapsed="false">
      <c r="A17" s="4"/>
      <c r="B17" s="4"/>
      <c r="C17" s="4"/>
      <c r="D17" s="5" t="str">
        <f aca="false">IF(B17="","",IFERROR(INDEX('Crosswalk IDs'!$C$2:$C$47,MATCH(B17,'Crosswalk IDs'!$A$2:$A$47,0)),"ID NOT IN CROSSWALK"))</f>
        <v/>
      </c>
      <c r="E17" s="5" t="str">
        <f aca="false">IF(B17="","",IFERROR(INDEX('Crosswalk IDs'!$D$2:$D$47,MATCH(B17,'Crosswalk IDs'!$A$2:$A$47,0)),"ID NOT IN CROSSWALK"))</f>
        <v/>
      </c>
      <c r="F17" s="4"/>
      <c r="G17" s="4"/>
      <c r="H17" s="6"/>
      <c r="I17" s="6"/>
      <c r="J17" s="6"/>
      <c r="K17" s="5" t="str">
        <f aca="false">IF(OR(H17="",I17=""),"",H17*I17)</f>
        <v/>
      </c>
      <c r="L17" s="5" t="str">
        <f aca="false">IF(OR(H17="",J17=""),"",H17*J17)</f>
        <v/>
      </c>
      <c r="M17" s="5" t="str">
        <f aca="false">IF(K17="","",MAX(K17,L17))</f>
        <v/>
      </c>
      <c r="N17" s="5" t="str">
        <f aca="false">IF(M17="","",IF(K17&gt;L17,"Rights",IF(L17&gt;K17,"Organisation","Both equal")))</f>
        <v/>
      </c>
      <c r="O17" s="4"/>
      <c r="P17" s="5" t="str">
        <f aca="false">IF(B17="","",IFERROR(INDEX('Crosswalk IDs'!$E$2:$E$47,MATCH(B17,'Crosswalk IDs'!$A$2:$A$47,0)),"ID NOT IN CROSSWALK"))</f>
        <v/>
      </c>
      <c r="Q17" s="4"/>
      <c r="R17" s="5" t="str">
        <f aca="false">IF(P17="","",IFERROR(INDEX(Lists!$F$2:$F$5,MATCH(P17,Lists!$E$2:$E$5,0)),""))</f>
        <v/>
      </c>
      <c r="S17" s="4"/>
      <c r="T17" s="5" t="str">
        <f aca="false">IF(OR(Q17="",R17=""),"",IF(AND(MATCH(Q17,Lists!$A$2:$A$4,0)&gt;MATCH(R17,Lists!$A$2:$A$4,0),S17=""),R17,Q17))</f>
        <v/>
      </c>
      <c r="U17" s="5" t="str">
        <f aca="false">IF(T17="","",MAX(1,H17-(MATCH(T17,Lists!$A$2:$A$4,0)-1)))</f>
        <v/>
      </c>
      <c r="V17" s="5" t="str">
        <f aca="false">IF(U17="","",U17*I17)</f>
        <v/>
      </c>
      <c r="W17" s="5" t="str">
        <f aca="false">IF(U17="","",U17*J17)</f>
        <v/>
      </c>
      <c r="X17" s="5" t="str">
        <f aca="false">IF(U17="","",MAX(V17,W17))</f>
        <v/>
      </c>
      <c r="Y17" s="5" t="str">
        <f aca="false">IF(X17="","",CHOOSE(MAX(IF(X17&gt;=16,4,IF(X17&gt;=10,3,IF(X17&gt;=5,2,1))),IF(OR(I17=5,AND(I17&gt;=4,U17&gt;=2)),3,1)),"Low","Medium","High","Critical"))</f>
        <v/>
      </c>
      <c r="Z17" s="4"/>
      <c r="AA17" s="4"/>
      <c r="AB17" s="7"/>
      <c r="AC17" s="4"/>
      <c r="AD17" s="7"/>
    </row>
    <row r="18" customFormat="false" ht="15" hidden="false" customHeight="false" outlineLevel="0" collapsed="false">
      <c r="A18" s="4"/>
      <c r="B18" s="4"/>
      <c r="C18" s="4"/>
      <c r="D18" s="5" t="str">
        <f aca="false">IF(B18="","",IFERROR(INDEX('Crosswalk IDs'!$C$2:$C$47,MATCH(B18,'Crosswalk IDs'!$A$2:$A$47,0)),"ID NOT IN CROSSWALK"))</f>
        <v/>
      </c>
      <c r="E18" s="5" t="str">
        <f aca="false">IF(B18="","",IFERROR(INDEX('Crosswalk IDs'!$D$2:$D$47,MATCH(B18,'Crosswalk IDs'!$A$2:$A$47,0)),"ID NOT IN CROSSWALK"))</f>
        <v/>
      </c>
      <c r="F18" s="4"/>
      <c r="G18" s="4"/>
      <c r="H18" s="6"/>
      <c r="I18" s="6"/>
      <c r="J18" s="6"/>
      <c r="K18" s="5" t="str">
        <f aca="false">IF(OR(H18="",I18=""),"",H18*I18)</f>
        <v/>
      </c>
      <c r="L18" s="5" t="str">
        <f aca="false">IF(OR(H18="",J18=""),"",H18*J18)</f>
        <v/>
      </c>
      <c r="M18" s="5" t="str">
        <f aca="false">IF(K18="","",MAX(K18,L18))</f>
        <v/>
      </c>
      <c r="N18" s="5" t="str">
        <f aca="false">IF(M18="","",IF(K18&gt;L18,"Rights",IF(L18&gt;K18,"Organisation","Both equal")))</f>
        <v/>
      </c>
      <c r="O18" s="4"/>
      <c r="P18" s="5" t="str">
        <f aca="false">IF(B18="","",IFERROR(INDEX('Crosswalk IDs'!$E$2:$E$47,MATCH(B18,'Crosswalk IDs'!$A$2:$A$47,0)),"ID NOT IN CROSSWALK"))</f>
        <v/>
      </c>
      <c r="Q18" s="4"/>
      <c r="R18" s="5" t="str">
        <f aca="false">IF(P18="","",IFERROR(INDEX(Lists!$F$2:$F$5,MATCH(P18,Lists!$E$2:$E$5,0)),""))</f>
        <v/>
      </c>
      <c r="S18" s="4"/>
      <c r="T18" s="5" t="str">
        <f aca="false">IF(OR(Q18="",R18=""),"",IF(AND(MATCH(Q18,Lists!$A$2:$A$4,0)&gt;MATCH(R18,Lists!$A$2:$A$4,0),S18=""),R18,Q18))</f>
        <v/>
      </c>
      <c r="U18" s="5" t="str">
        <f aca="false">IF(T18="","",MAX(1,H18-(MATCH(T18,Lists!$A$2:$A$4,0)-1)))</f>
        <v/>
      </c>
      <c r="V18" s="5" t="str">
        <f aca="false">IF(U18="","",U18*I18)</f>
        <v/>
      </c>
      <c r="W18" s="5" t="str">
        <f aca="false">IF(U18="","",U18*J18)</f>
        <v/>
      </c>
      <c r="X18" s="5" t="str">
        <f aca="false">IF(U18="","",MAX(V18,W18))</f>
        <v/>
      </c>
      <c r="Y18" s="5" t="str">
        <f aca="false">IF(X18="","",CHOOSE(MAX(IF(X18&gt;=16,4,IF(X18&gt;=10,3,IF(X18&gt;=5,2,1))),IF(OR(I18=5,AND(I18&gt;=4,U18&gt;=2)),3,1)),"Low","Medium","High","Critical"))</f>
        <v/>
      </c>
      <c r="Z18" s="4"/>
      <c r="AA18" s="4"/>
      <c r="AB18" s="7"/>
      <c r="AC18" s="4"/>
      <c r="AD18" s="7"/>
    </row>
    <row r="19" customFormat="false" ht="15" hidden="false" customHeight="false" outlineLevel="0" collapsed="false">
      <c r="A19" s="4"/>
      <c r="B19" s="4"/>
      <c r="C19" s="4"/>
      <c r="D19" s="5" t="str">
        <f aca="false">IF(B19="","",IFERROR(INDEX('Crosswalk IDs'!$C$2:$C$47,MATCH(B19,'Crosswalk IDs'!$A$2:$A$47,0)),"ID NOT IN CROSSWALK"))</f>
        <v/>
      </c>
      <c r="E19" s="5" t="str">
        <f aca="false">IF(B19="","",IFERROR(INDEX('Crosswalk IDs'!$D$2:$D$47,MATCH(B19,'Crosswalk IDs'!$A$2:$A$47,0)),"ID NOT IN CROSSWALK"))</f>
        <v/>
      </c>
      <c r="F19" s="4"/>
      <c r="G19" s="4"/>
      <c r="H19" s="6"/>
      <c r="I19" s="6"/>
      <c r="J19" s="6"/>
      <c r="K19" s="5" t="str">
        <f aca="false">IF(OR(H19="",I19=""),"",H19*I19)</f>
        <v/>
      </c>
      <c r="L19" s="5" t="str">
        <f aca="false">IF(OR(H19="",J19=""),"",H19*J19)</f>
        <v/>
      </c>
      <c r="M19" s="5" t="str">
        <f aca="false">IF(K19="","",MAX(K19,L19))</f>
        <v/>
      </c>
      <c r="N19" s="5" t="str">
        <f aca="false">IF(M19="","",IF(K19&gt;L19,"Rights",IF(L19&gt;K19,"Organisation","Both equal")))</f>
        <v/>
      </c>
      <c r="O19" s="4"/>
      <c r="P19" s="5" t="str">
        <f aca="false">IF(B19="","",IFERROR(INDEX('Crosswalk IDs'!$E$2:$E$47,MATCH(B19,'Crosswalk IDs'!$A$2:$A$47,0)),"ID NOT IN CROSSWALK"))</f>
        <v/>
      </c>
      <c r="Q19" s="4"/>
      <c r="R19" s="5" t="str">
        <f aca="false">IF(P19="","",IFERROR(INDEX(Lists!$F$2:$F$5,MATCH(P19,Lists!$E$2:$E$5,0)),""))</f>
        <v/>
      </c>
      <c r="S19" s="4"/>
      <c r="T19" s="5" t="str">
        <f aca="false">IF(OR(Q19="",R19=""),"",IF(AND(MATCH(Q19,Lists!$A$2:$A$4,0)&gt;MATCH(R19,Lists!$A$2:$A$4,0),S19=""),R19,Q19))</f>
        <v/>
      </c>
      <c r="U19" s="5" t="str">
        <f aca="false">IF(T19="","",MAX(1,H19-(MATCH(T19,Lists!$A$2:$A$4,0)-1)))</f>
        <v/>
      </c>
      <c r="V19" s="5" t="str">
        <f aca="false">IF(U19="","",U19*I19)</f>
        <v/>
      </c>
      <c r="W19" s="5" t="str">
        <f aca="false">IF(U19="","",U19*J19)</f>
        <v/>
      </c>
      <c r="X19" s="5" t="str">
        <f aca="false">IF(U19="","",MAX(V19,W19))</f>
        <v/>
      </c>
      <c r="Y19" s="5" t="str">
        <f aca="false">IF(X19="","",CHOOSE(MAX(IF(X19&gt;=16,4,IF(X19&gt;=10,3,IF(X19&gt;=5,2,1))),IF(OR(I19=5,AND(I19&gt;=4,U19&gt;=2)),3,1)),"Low","Medium","High","Critical"))</f>
        <v/>
      </c>
      <c r="Z19" s="4"/>
      <c r="AA19" s="4"/>
      <c r="AB19" s="7"/>
      <c r="AC19" s="4"/>
      <c r="AD19" s="7"/>
    </row>
    <row r="20" customFormat="false" ht="15" hidden="false" customHeight="false" outlineLevel="0" collapsed="false">
      <c r="A20" s="4"/>
      <c r="B20" s="4"/>
      <c r="C20" s="4"/>
      <c r="D20" s="5" t="str">
        <f aca="false">IF(B20="","",IFERROR(INDEX('Crosswalk IDs'!$C$2:$C$47,MATCH(B20,'Crosswalk IDs'!$A$2:$A$47,0)),"ID NOT IN CROSSWALK"))</f>
        <v/>
      </c>
      <c r="E20" s="5" t="str">
        <f aca="false">IF(B20="","",IFERROR(INDEX('Crosswalk IDs'!$D$2:$D$47,MATCH(B20,'Crosswalk IDs'!$A$2:$A$47,0)),"ID NOT IN CROSSWALK"))</f>
        <v/>
      </c>
      <c r="F20" s="4"/>
      <c r="G20" s="4"/>
      <c r="H20" s="6"/>
      <c r="I20" s="6"/>
      <c r="J20" s="6"/>
      <c r="K20" s="5" t="str">
        <f aca="false">IF(OR(H20="",I20=""),"",H20*I20)</f>
        <v/>
      </c>
      <c r="L20" s="5" t="str">
        <f aca="false">IF(OR(H20="",J20=""),"",H20*J20)</f>
        <v/>
      </c>
      <c r="M20" s="5" t="str">
        <f aca="false">IF(K20="","",MAX(K20,L20))</f>
        <v/>
      </c>
      <c r="N20" s="5" t="str">
        <f aca="false">IF(M20="","",IF(K20&gt;L20,"Rights",IF(L20&gt;K20,"Organisation","Both equal")))</f>
        <v/>
      </c>
      <c r="O20" s="4"/>
      <c r="P20" s="5" t="str">
        <f aca="false">IF(B20="","",IFERROR(INDEX('Crosswalk IDs'!$E$2:$E$47,MATCH(B20,'Crosswalk IDs'!$A$2:$A$47,0)),"ID NOT IN CROSSWALK"))</f>
        <v/>
      </c>
      <c r="Q20" s="4"/>
      <c r="R20" s="5" t="str">
        <f aca="false">IF(P20="","",IFERROR(INDEX(Lists!$F$2:$F$5,MATCH(P20,Lists!$E$2:$E$5,0)),""))</f>
        <v/>
      </c>
      <c r="S20" s="4"/>
      <c r="T20" s="5" t="str">
        <f aca="false">IF(OR(Q20="",R20=""),"",IF(AND(MATCH(Q20,Lists!$A$2:$A$4,0)&gt;MATCH(R20,Lists!$A$2:$A$4,0),S20=""),R20,Q20))</f>
        <v/>
      </c>
      <c r="U20" s="5" t="str">
        <f aca="false">IF(T20="","",MAX(1,H20-(MATCH(T20,Lists!$A$2:$A$4,0)-1)))</f>
        <v/>
      </c>
      <c r="V20" s="5" t="str">
        <f aca="false">IF(U20="","",U20*I20)</f>
        <v/>
      </c>
      <c r="W20" s="5" t="str">
        <f aca="false">IF(U20="","",U20*J20)</f>
        <v/>
      </c>
      <c r="X20" s="5" t="str">
        <f aca="false">IF(U20="","",MAX(V20,W20))</f>
        <v/>
      </c>
      <c r="Y20" s="5" t="str">
        <f aca="false">IF(X20="","",CHOOSE(MAX(IF(X20&gt;=16,4,IF(X20&gt;=10,3,IF(X20&gt;=5,2,1))),IF(OR(I20=5,AND(I20&gt;=4,U20&gt;=2)),3,1)),"Low","Medium","High","Critical"))</f>
        <v/>
      </c>
      <c r="Z20" s="4"/>
      <c r="AA20" s="4"/>
      <c r="AB20" s="7"/>
      <c r="AC20" s="4"/>
      <c r="AD20" s="7"/>
    </row>
    <row r="21" customFormat="false" ht="15" hidden="false" customHeight="false" outlineLevel="0" collapsed="false">
      <c r="A21" s="4"/>
      <c r="B21" s="4"/>
      <c r="C21" s="4"/>
      <c r="D21" s="5" t="str">
        <f aca="false">IF(B21="","",IFERROR(INDEX('Crosswalk IDs'!$C$2:$C$47,MATCH(B21,'Crosswalk IDs'!$A$2:$A$47,0)),"ID NOT IN CROSSWALK"))</f>
        <v/>
      </c>
      <c r="E21" s="5" t="str">
        <f aca="false">IF(B21="","",IFERROR(INDEX('Crosswalk IDs'!$D$2:$D$47,MATCH(B21,'Crosswalk IDs'!$A$2:$A$47,0)),"ID NOT IN CROSSWALK"))</f>
        <v/>
      </c>
      <c r="F21" s="4"/>
      <c r="G21" s="4"/>
      <c r="H21" s="6"/>
      <c r="I21" s="6"/>
      <c r="J21" s="6"/>
      <c r="K21" s="5" t="str">
        <f aca="false">IF(OR(H21="",I21=""),"",H21*I21)</f>
        <v/>
      </c>
      <c r="L21" s="5" t="str">
        <f aca="false">IF(OR(H21="",J21=""),"",H21*J21)</f>
        <v/>
      </c>
      <c r="M21" s="5" t="str">
        <f aca="false">IF(K21="","",MAX(K21,L21))</f>
        <v/>
      </c>
      <c r="N21" s="5" t="str">
        <f aca="false">IF(M21="","",IF(K21&gt;L21,"Rights",IF(L21&gt;K21,"Organisation","Both equal")))</f>
        <v/>
      </c>
      <c r="O21" s="4"/>
      <c r="P21" s="5" t="str">
        <f aca="false">IF(B21="","",IFERROR(INDEX('Crosswalk IDs'!$E$2:$E$47,MATCH(B21,'Crosswalk IDs'!$A$2:$A$47,0)),"ID NOT IN CROSSWALK"))</f>
        <v/>
      </c>
      <c r="Q21" s="4"/>
      <c r="R21" s="5" t="str">
        <f aca="false">IF(P21="","",IFERROR(INDEX(Lists!$F$2:$F$5,MATCH(P21,Lists!$E$2:$E$5,0)),""))</f>
        <v/>
      </c>
      <c r="S21" s="4"/>
      <c r="T21" s="5" t="str">
        <f aca="false">IF(OR(Q21="",R21=""),"",IF(AND(MATCH(Q21,Lists!$A$2:$A$4,0)&gt;MATCH(R21,Lists!$A$2:$A$4,0),S21=""),R21,Q21))</f>
        <v/>
      </c>
      <c r="U21" s="5" t="str">
        <f aca="false">IF(T21="","",MAX(1,H21-(MATCH(T21,Lists!$A$2:$A$4,0)-1)))</f>
        <v/>
      </c>
      <c r="V21" s="5" t="str">
        <f aca="false">IF(U21="","",U21*I21)</f>
        <v/>
      </c>
      <c r="W21" s="5" t="str">
        <f aca="false">IF(U21="","",U21*J21)</f>
        <v/>
      </c>
      <c r="X21" s="5" t="str">
        <f aca="false">IF(U21="","",MAX(V21,W21))</f>
        <v/>
      </c>
      <c r="Y21" s="5" t="str">
        <f aca="false">IF(X21="","",CHOOSE(MAX(IF(X21&gt;=16,4,IF(X21&gt;=10,3,IF(X21&gt;=5,2,1))),IF(OR(I21=5,AND(I21&gt;=4,U21&gt;=2)),3,1)),"Low","Medium","High","Critical"))</f>
        <v/>
      </c>
      <c r="Z21" s="4"/>
      <c r="AA21" s="4"/>
      <c r="AB21" s="7"/>
      <c r="AC21" s="4"/>
      <c r="AD21" s="7"/>
    </row>
    <row r="22" customFormat="false" ht="15" hidden="false" customHeight="false" outlineLevel="0" collapsed="false">
      <c r="A22" s="4"/>
      <c r="B22" s="4"/>
      <c r="C22" s="4"/>
      <c r="D22" s="5" t="str">
        <f aca="false">IF(B22="","",IFERROR(INDEX('Crosswalk IDs'!$C$2:$C$47,MATCH(B22,'Crosswalk IDs'!$A$2:$A$47,0)),"ID NOT IN CROSSWALK"))</f>
        <v/>
      </c>
      <c r="E22" s="5" t="str">
        <f aca="false">IF(B22="","",IFERROR(INDEX('Crosswalk IDs'!$D$2:$D$47,MATCH(B22,'Crosswalk IDs'!$A$2:$A$47,0)),"ID NOT IN CROSSWALK"))</f>
        <v/>
      </c>
      <c r="F22" s="4"/>
      <c r="G22" s="4"/>
      <c r="H22" s="6"/>
      <c r="I22" s="6"/>
      <c r="J22" s="6"/>
      <c r="K22" s="5" t="str">
        <f aca="false">IF(OR(H22="",I22=""),"",H22*I22)</f>
        <v/>
      </c>
      <c r="L22" s="5" t="str">
        <f aca="false">IF(OR(H22="",J22=""),"",H22*J22)</f>
        <v/>
      </c>
      <c r="M22" s="5" t="str">
        <f aca="false">IF(K22="","",MAX(K22,L22))</f>
        <v/>
      </c>
      <c r="N22" s="5" t="str">
        <f aca="false">IF(M22="","",IF(K22&gt;L22,"Rights",IF(L22&gt;K22,"Organisation","Both equal")))</f>
        <v/>
      </c>
      <c r="O22" s="4"/>
      <c r="P22" s="5" t="str">
        <f aca="false">IF(B22="","",IFERROR(INDEX('Crosswalk IDs'!$E$2:$E$47,MATCH(B22,'Crosswalk IDs'!$A$2:$A$47,0)),"ID NOT IN CROSSWALK"))</f>
        <v/>
      </c>
      <c r="Q22" s="4"/>
      <c r="R22" s="5" t="str">
        <f aca="false">IF(P22="","",IFERROR(INDEX(Lists!$F$2:$F$5,MATCH(P22,Lists!$E$2:$E$5,0)),""))</f>
        <v/>
      </c>
      <c r="S22" s="4"/>
      <c r="T22" s="5" t="str">
        <f aca="false">IF(OR(Q22="",R22=""),"",IF(AND(MATCH(Q22,Lists!$A$2:$A$4,0)&gt;MATCH(R22,Lists!$A$2:$A$4,0),S22=""),R22,Q22))</f>
        <v/>
      </c>
      <c r="U22" s="5" t="str">
        <f aca="false">IF(T22="","",MAX(1,H22-(MATCH(T22,Lists!$A$2:$A$4,0)-1)))</f>
        <v/>
      </c>
      <c r="V22" s="5" t="str">
        <f aca="false">IF(U22="","",U22*I22)</f>
        <v/>
      </c>
      <c r="W22" s="5" t="str">
        <f aca="false">IF(U22="","",U22*J22)</f>
        <v/>
      </c>
      <c r="X22" s="5" t="str">
        <f aca="false">IF(U22="","",MAX(V22,W22))</f>
        <v/>
      </c>
      <c r="Y22" s="5" t="str">
        <f aca="false">IF(X22="","",CHOOSE(MAX(IF(X22&gt;=16,4,IF(X22&gt;=10,3,IF(X22&gt;=5,2,1))),IF(OR(I22=5,AND(I22&gt;=4,U22&gt;=2)),3,1)),"Low","Medium","High","Critical"))</f>
        <v/>
      </c>
      <c r="Z22" s="4"/>
      <c r="AA22" s="4"/>
      <c r="AB22" s="7"/>
      <c r="AC22" s="4"/>
      <c r="AD22" s="7"/>
    </row>
    <row r="23" customFormat="false" ht="15" hidden="false" customHeight="false" outlineLevel="0" collapsed="false">
      <c r="A23" s="4"/>
      <c r="B23" s="4"/>
      <c r="C23" s="4"/>
      <c r="D23" s="5" t="str">
        <f aca="false">IF(B23="","",IFERROR(INDEX('Crosswalk IDs'!$C$2:$C$47,MATCH(B23,'Crosswalk IDs'!$A$2:$A$47,0)),"ID NOT IN CROSSWALK"))</f>
        <v/>
      </c>
      <c r="E23" s="5" t="str">
        <f aca="false">IF(B23="","",IFERROR(INDEX('Crosswalk IDs'!$D$2:$D$47,MATCH(B23,'Crosswalk IDs'!$A$2:$A$47,0)),"ID NOT IN CROSSWALK"))</f>
        <v/>
      </c>
      <c r="F23" s="4"/>
      <c r="G23" s="4"/>
      <c r="H23" s="6"/>
      <c r="I23" s="6"/>
      <c r="J23" s="6"/>
      <c r="K23" s="5" t="str">
        <f aca="false">IF(OR(H23="",I23=""),"",H23*I23)</f>
        <v/>
      </c>
      <c r="L23" s="5" t="str">
        <f aca="false">IF(OR(H23="",J23=""),"",H23*J23)</f>
        <v/>
      </c>
      <c r="M23" s="5" t="str">
        <f aca="false">IF(K23="","",MAX(K23,L23))</f>
        <v/>
      </c>
      <c r="N23" s="5" t="str">
        <f aca="false">IF(M23="","",IF(K23&gt;L23,"Rights",IF(L23&gt;K23,"Organisation","Both equal")))</f>
        <v/>
      </c>
      <c r="O23" s="4"/>
      <c r="P23" s="5" t="str">
        <f aca="false">IF(B23="","",IFERROR(INDEX('Crosswalk IDs'!$E$2:$E$47,MATCH(B23,'Crosswalk IDs'!$A$2:$A$47,0)),"ID NOT IN CROSSWALK"))</f>
        <v/>
      </c>
      <c r="Q23" s="4"/>
      <c r="R23" s="5" t="str">
        <f aca="false">IF(P23="","",IFERROR(INDEX(Lists!$F$2:$F$5,MATCH(P23,Lists!$E$2:$E$5,0)),""))</f>
        <v/>
      </c>
      <c r="S23" s="4"/>
      <c r="T23" s="5" t="str">
        <f aca="false">IF(OR(Q23="",R23=""),"",IF(AND(MATCH(Q23,Lists!$A$2:$A$4,0)&gt;MATCH(R23,Lists!$A$2:$A$4,0),S23=""),R23,Q23))</f>
        <v/>
      </c>
      <c r="U23" s="5" t="str">
        <f aca="false">IF(T23="","",MAX(1,H23-(MATCH(T23,Lists!$A$2:$A$4,0)-1)))</f>
        <v/>
      </c>
      <c r="V23" s="5" t="str">
        <f aca="false">IF(U23="","",U23*I23)</f>
        <v/>
      </c>
      <c r="W23" s="5" t="str">
        <f aca="false">IF(U23="","",U23*J23)</f>
        <v/>
      </c>
      <c r="X23" s="5" t="str">
        <f aca="false">IF(U23="","",MAX(V23,W23))</f>
        <v/>
      </c>
      <c r="Y23" s="5" t="str">
        <f aca="false">IF(X23="","",CHOOSE(MAX(IF(X23&gt;=16,4,IF(X23&gt;=10,3,IF(X23&gt;=5,2,1))),IF(OR(I23=5,AND(I23&gt;=4,U23&gt;=2)),3,1)),"Low","Medium","High","Critical"))</f>
        <v/>
      </c>
      <c r="Z23" s="4"/>
      <c r="AA23" s="4"/>
      <c r="AB23" s="7"/>
      <c r="AC23" s="4"/>
      <c r="AD23" s="7"/>
    </row>
    <row r="24" customFormat="false" ht="15" hidden="false" customHeight="false" outlineLevel="0" collapsed="false">
      <c r="A24" s="4"/>
      <c r="B24" s="4"/>
      <c r="C24" s="4"/>
      <c r="D24" s="5" t="str">
        <f aca="false">IF(B24="","",IFERROR(INDEX('Crosswalk IDs'!$C$2:$C$47,MATCH(B24,'Crosswalk IDs'!$A$2:$A$47,0)),"ID NOT IN CROSSWALK"))</f>
        <v/>
      </c>
      <c r="E24" s="5" t="str">
        <f aca="false">IF(B24="","",IFERROR(INDEX('Crosswalk IDs'!$D$2:$D$47,MATCH(B24,'Crosswalk IDs'!$A$2:$A$47,0)),"ID NOT IN CROSSWALK"))</f>
        <v/>
      </c>
      <c r="F24" s="4"/>
      <c r="G24" s="4"/>
      <c r="H24" s="6"/>
      <c r="I24" s="6"/>
      <c r="J24" s="6"/>
      <c r="K24" s="5" t="str">
        <f aca="false">IF(OR(H24="",I24=""),"",H24*I24)</f>
        <v/>
      </c>
      <c r="L24" s="5" t="str">
        <f aca="false">IF(OR(H24="",J24=""),"",H24*J24)</f>
        <v/>
      </c>
      <c r="M24" s="5" t="str">
        <f aca="false">IF(K24="","",MAX(K24,L24))</f>
        <v/>
      </c>
      <c r="N24" s="5" t="str">
        <f aca="false">IF(M24="","",IF(K24&gt;L24,"Rights",IF(L24&gt;K24,"Organisation","Both equal")))</f>
        <v/>
      </c>
      <c r="O24" s="4"/>
      <c r="P24" s="5" t="str">
        <f aca="false">IF(B24="","",IFERROR(INDEX('Crosswalk IDs'!$E$2:$E$47,MATCH(B24,'Crosswalk IDs'!$A$2:$A$47,0)),"ID NOT IN CROSSWALK"))</f>
        <v/>
      </c>
      <c r="Q24" s="4"/>
      <c r="R24" s="5" t="str">
        <f aca="false">IF(P24="","",IFERROR(INDEX(Lists!$F$2:$F$5,MATCH(P24,Lists!$E$2:$E$5,0)),""))</f>
        <v/>
      </c>
      <c r="S24" s="4"/>
      <c r="T24" s="5" t="str">
        <f aca="false">IF(OR(Q24="",R24=""),"",IF(AND(MATCH(Q24,Lists!$A$2:$A$4,0)&gt;MATCH(R24,Lists!$A$2:$A$4,0),S24=""),R24,Q24))</f>
        <v/>
      </c>
      <c r="U24" s="5" t="str">
        <f aca="false">IF(T24="","",MAX(1,H24-(MATCH(T24,Lists!$A$2:$A$4,0)-1)))</f>
        <v/>
      </c>
      <c r="V24" s="5" t="str">
        <f aca="false">IF(U24="","",U24*I24)</f>
        <v/>
      </c>
      <c r="W24" s="5" t="str">
        <f aca="false">IF(U24="","",U24*J24)</f>
        <v/>
      </c>
      <c r="X24" s="5" t="str">
        <f aca="false">IF(U24="","",MAX(V24,W24))</f>
        <v/>
      </c>
      <c r="Y24" s="5" t="str">
        <f aca="false">IF(X24="","",CHOOSE(MAX(IF(X24&gt;=16,4,IF(X24&gt;=10,3,IF(X24&gt;=5,2,1))),IF(OR(I24=5,AND(I24&gt;=4,U24&gt;=2)),3,1)),"Low","Medium","High","Critical"))</f>
        <v/>
      </c>
      <c r="Z24" s="4"/>
      <c r="AA24" s="4"/>
      <c r="AB24" s="7"/>
      <c r="AC24" s="4"/>
      <c r="AD24" s="7"/>
    </row>
    <row r="25" customFormat="false" ht="15" hidden="false" customHeight="false" outlineLevel="0" collapsed="false">
      <c r="A25" s="4"/>
      <c r="B25" s="4"/>
      <c r="C25" s="4"/>
      <c r="D25" s="5" t="str">
        <f aca="false">IF(B25="","",IFERROR(INDEX('Crosswalk IDs'!$C$2:$C$47,MATCH(B25,'Crosswalk IDs'!$A$2:$A$47,0)),"ID NOT IN CROSSWALK"))</f>
        <v/>
      </c>
      <c r="E25" s="5" t="str">
        <f aca="false">IF(B25="","",IFERROR(INDEX('Crosswalk IDs'!$D$2:$D$47,MATCH(B25,'Crosswalk IDs'!$A$2:$A$47,0)),"ID NOT IN CROSSWALK"))</f>
        <v/>
      </c>
      <c r="F25" s="4"/>
      <c r="G25" s="4"/>
      <c r="H25" s="6"/>
      <c r="I25" s="6"/>
      <c r="J25" s="6"/>
      <c r="K25" s="5" t="str">
        <f aca="false">IF(OR(H25="",I25=""),"",H25*I25)</f>
        <v/>
      </c>
      <c r="L25" s="5" t="str">
        <f aca="false">IF(OR(H25="",J25=""),"",H25*J25)</f>
        <v/>
      </c>
      <c r="M25" s="5" t="str">
        <f aca="false">IF(K25="","",MAX(K25,L25))</f>
        <v/>
      </c>
      <c r="N25" s="5" t="str">
        <f aca="false">IF(M25="","",IF(K25&gt;L25,"Rights",IF(L25&gt;K25,"Organisation","Both equal")))</f>
        <v/>
      </c>
      <c r="O25" s="4"/>
      <c r="P25" s="5" t="str">
        <f aca="false">IF(B25="","",IFERROR(INDEX('Crosswalk IDs'!$E$2:$E$47,MATCH(B25,'Crosswalk IDs'!$A$2:$A$47,0)),"ID NOT IN CROSSWALK"))</f>
        <v/>
      </c>
      <c r="Q25" s="4"/>
      <c r="R25" s="5" t="str">
        <f aca="false">IF(P25="","",IFERROR(INDEX(Lists!$F$2:$F$5,MATCH(P25,Lists!$E$2:$E$5,0)),""))</f>
        <v/>
      </c>
      <c r="S25" s="4"/>
      <c r="T25" s="5" t="str">
        <f aca="false">IF(OR(Q25="",R25=""),"",IF(AND(MATCH(Q25,Lists!$A$2:$A$4,0)&gt;MATCH(R25,Lists!$A$2:$A$4,0),S25=""),R25,Q25))</f>
        <v/>
      </c>
      <c r="U25" s="5" t="str">
        <f aca="false">IF(T25="","",MAX(1,H25-(MATCH(T25,Lists!$A$2:$A$4,0)-1)))</f>
        <v/>
      </c>
      <c r="V25" s="5" t="str">
        <f aca="false">IF(U25="","",U25*I25)</f>
        <v/>
      </c>
      <c r="W25" s="5" t="str">
        <f aca="false">IF(U25="","",U25*J25)</f>
        <v/>
      </c>
      <c r="X25" s="5" t="str">
        <f aca="false">IF(U25="","",MAX(V25,W25))</f>
        <v/>
      </c>
      <c r="Y25" s="5" t="str">
        <f aca="false">IF(X25="","",CHOOSE(MAX(IF(X25&gt;=16,4,IF(X25&gt;=10,3,IF(X25&gt;=5,2,1))),IF(OR(I25=5,AND(I25&gt;=4,U25&gt;=2)),3,1)),"Low","Medium","High","Critical"))</f>
        <v/>
      </c>
      <c r="Z25" s="4"/>
      <c r="AA25" s="4"/>
      <c r="AB25" s="7"/>
      <c r="AC25" s="4"/>
      <c r="AD25" s="7"/>
    </row>
    <row r="26" customFormat="false" ht="15" hidden="false" customHeight="false" outlineLevel="0" collapsed="false">
      <c r="A26" s="4"/>
      <c r="B26" s="4"/>
      <c r="C26" s="4"/>
      <c r="D26" s="5" t="str">
        <f aca="false">IF(B26="","",IFERROR(INDEX('Crosswalk IDs'!$C$2:$C$47,MATCH(B26,'Crosswalk IDs'!$A$2:$A$47,0)),"ID NOT IN CROSSWALK"))</f>
        <v/>
      </c>
      <c r="E26" s="5" t="str">
        <f aca="false">IF(B26="","",IFERROR(INDEX('Crosswalk IDs'!$D$2:$D$47,MATCH(B26,'Crosswalk IDs'!$A$2:$A$47,0)),"ID NOT IN CROSSWALK"))</f>
        <v/>
      </c>
      <c r="F26" s="4"/>
      <c r="G26" s="4"/>
      <c r="H26" s="6"/>
      <c r="I26" s="6"/>
      <c r="J26" s="6"/>
      <c r="K26" s="5" t="str">
        <f aca="false">IF(OR(H26="",I26=""),"",H26*I26)</f>
        <v/>
      </c>
      <c r="L26" s="5" t="str">
        <f aca="false">IF(OR(H26="",J26=""),"",H26*J26)</f>
        <v/>
      </c>
      <c r="M26" s="5" t="str">
        <f aca="false">IF(K26="","",MAX(K26,L26))</f>
        <v/>
      </c>
      <c r="N26" s="5" t="str">
        <f aca="false">IF(M26="","",IF(K26&gt;L26,"Rights",IF(L26&gt;K26,"Organisation","Both equal")))</f>
        <v/>
      </c>
      <c r="O26" s="4"/>
      <c r="P26" s="5" t="str">
        <f aca="false">IF(B26="","",IFERROR(INDEX('Crosswalk IDs'!$E$2:$E$47,MATCH(B26,'Crosswalk IDs'!$A$2:$A$47,0)),"ID NOT IN CROSSWALK"))</f>
        <v/>
      </c>
      <c r="Q26" s="4"/>
      <c r="R26" s="5" t="str">
        <f aca="false">IF(P26="","",IFERROR(INDEX(Lists!$F$2:$F$5,MATCH(P26,Lists!$E$2:$E$5,0)),""))</f>
        <v/>
      </c>
      <c r="S26" s="4"/>
      <c r="T26" s="5" t="str">
        <f aca="false">IF(OR(Q26="",R26=""),"",IF(AND(MATCH(Q26,Lists!$A$2:$A$4,0)&gt;MATCH(R26,Lists!$A$2:$A$4,0),S26=""),R26,Q26))</f>
        <v/>
      </c>
      <c r="U26" s="5" t="str">
        <f aca="false">IF(T26="","",MAX(1,H26-(MATCH(T26,Lists!$A$2:$A$4,0)-1)))</f>
        <v/>
      </c>
      <c r="V26" s="5" t="str">
        <f aca="false">IF(U26="","",U26*I26)</f>
        <v/>
      </c>
      <c r="W26" s="5" t="str">
        <f aca="false">IF(U26="","",U26*J26)</f>
        <v/>
      </c>
      <c r="X26" s="5" t="str">
        <f aca="false">IF(U26="","",MAX(V26,W26))</f>
        <v/>
      </c>
      <c r="Y26" s="5" t="str">
        <f aca="false">IF(X26="","",CHOOSE(MAX(IF(X26&gt;=16,4,IF(X26&gt;=10,3,IF(X26&gt;=5,2,1))),IF(OR(I26=5,AND(I26&gt;=4,U26&gt;=2)),3,1)),"Low","Medium","High","Critical"))</f>
        <v/>
      </c>
      <c r="Z26" s="4"/>
      <c r="AA26" s="4"/>
      <c r="AB26" s="7"/>
      <c r="AC26" s="4"/>
      <c r="AD26" s="7"/>
    </row>
    <row r="27" customFormat="false" ht="15" hidden="false" customHeight="false" outlineLevel="0" collapsed="false">
      <c r="A27" s="4"/>
      <c r="B27" s="4"/>
      <c r="C27" s="4"/>
      <c r="D27" s="5" t="str">
        <f aca="false">IF(B27="","",IFERROR(INDEX('Crosswalk IDs'!$C$2:$C$47,MATCH(B27,'Crosswalk IDs'!$A$2:$A$47,0)),"ID NOT IN CROSSWALK"))</f>
        <v/>
      </c>
      <c r="E27" s="5" t="str">
        <f aca="false">IF(B27="","",IFERROR(INDEX('Crosswalk IDs'!$D$2:$D$47,MATCH(B27,'Crosswalk IDs'!$A$2:$A$47,0)),"ID NOT IN CROSSWALK"))</f>
        <v/>
      </c>
      <c r="F27" s="4"/>
      <c r="G27" s="4"/>
      <c r="H27" s="6"/>
      <c r="I27" s="6"/>
      <c r="J27" s="6"/>
      <c r="K27" s="5" t="str">
        <f aca="false">IF(OR(H27="",I27=""),"",H27*I27)</f>
        <v/>
      </c>
      <c r="L27" s="5" t="str">
        <f aca="false">IF(OR(H27="",J27=""),"",H27*J27)</f>
        <v/>
      </c>
      <c r="M27" s="5" t="str">
        <f aca="false">IF(K27="","",MAX(K27,L27))</f>
        <v/>
      </c>
      <c r="N27" s="5" t="str">
        <f aca="false">IF(M27="","",IF(K27&gt;L27,"Rights",IF(L27&gt;K27,"Organisation","Both equal")))</f>
        <v/>
      </c>
      <c r="O27" s="4"/>
      <c r="P27" s="5" t="str">
        <f aca="false">IF(B27="","",IFERROR(INDEX('Crosswalk IDs'!$E$2:$E$47,MATCH(B27,'Crosswalk IDs'!$A$2:$A$47,0)),"ID NOT IN CROSSWALK"))</f>
        <v/>
      </c>
      <c r="Q27" s="4"/>
      <c r="R27" s="5" t="str">
        <f aca="false">IF(P27="","",IFERROR(INDEX(Lists!$F$2:$F$5,MATCH(P27,Lists!$E$2:$E$5,0)),""))</f>
        <v/>
      </c>
      <c r="S27" s="4"/>
      <c r="T27" s="5" t="str">
        <f aca="false">IF(OR(Q27="",R27=""),"",IF(AND(MATCH(Q27,Lists!$A$2:$A$4,0)&gt;MATCH(R27,Lists!$A$2:$A$4,0),S27=""),R27,Q27))</f>
        <v/>
      </c>
      <c r="U27" s="5" t="str">
        <f aca="false">IF(T27="","",MAX(1,H27-(MATCH(T27,Lists!$A$2:$A$4,0)-1)))</f>
        <v/>
      </c>
      <c r="V27" s="5" t="str">
        <f aca="false">IF(U27="","",U27*I27)</f>
        <v/>
      </c>
      <c r="W27" s="5" t="str">
        <f aca="false">IF(U27="","",U27*J27)</f>
        <v/>
      </c>
      <c r="X27" s="5" t="str">
        <f aca="false">IF(U27="","",MAX(V27,W27))</f>
        <v/>
      </c>
      <c r="Y27" s="5" t="str">
        <f aca="false">IF(X27="","",CHOOSE(MAX(IF(X27&gt;=16,4,IF(X27&gt;=10,3,IF(X27&gt;=5,2,1))),IF(OR(I27=5,AND(I27&gt;=4,U27&gt;=2)),3,1)),"Low","Medium","High","Critical"))</f>
        <v/>
      </c>
      <c r="Z27" s="4"/>
      <c r="AA27" s="4"/>
      <c r="AB27" s="7"/>
      <c r="AC27" s="4"/>
      <c r="AD27" s="7"/>
    </row>
    <row r="28" customFormat="false" ht="15" hidden="false" customHeight="false" outlineLevel="0" collapsed="false">
      <c r="A28" s="4"/>
      <c r="B28" s="4"/>
      <c r="C28" s="4"/>
      <c r="D28" s="5" t="str">
        <f aca="false">IF(B28="","",IFERROR(INDEX('Crosswalk IDs'!$C$2:$C$47,MATCH(B28,'Crosswalk IDs'!$A$2:$A$47,0)),"ID NOT IN CROSSWALK"))</f>
        <v/>
      </c>
      <c r="E28" s="5" t="str">
        <f aca="false">IF(B28="","",IFERROR(INDEX('Crosswalk IDs'!$D$2:$D$47,MATCH(B28,'Crosswalk IDs'!$A$2:$A$47,0)),"ID NOT IN CROSSWALK"))</f>
        <v/>
      </c>
      <c r="F28" s="4"/>
      <c r="G28" s="4"/>
      <c r="H28" s="6"/>
      <c r="I28" s="6"/>
      <c r="J28" s="6"/>
      <c r="K28" s="5" t="str">
        <f aca="false">IF(OR(H28="",I28=""),"",H28*I28)</f>
        <v/>
      </c>
      <c r="L28" s="5" t="str">
        <f aca="false">IF(OR(H28="",J28=""),"",H28*J28)</f>
        <v/>
      </c>
      <c r="M28" s="5" t="str">
        <f aca="false">IF(K28="","",MAX(K28,L28))</f>
        <v/>
      </c>
      <c r="N28" s="5" t="str">
        <f aca="false">IF(M28="","",IF(K28&gt;L28,"Rights",IF(L28&gt;K28,"Organisation","Both equal")))</f>
        <v/>
      </c>
      <c r="O28" s="4"/>
      <c r="P28" s="5" t="str">
        <f aca="false">IF(B28="","",IFERROR(INDEX('Crosswalk IDs'!$E$2:$E$47,MATCH(B28,'Crosswalk IDs'!$A$2:$A$47,0)),"ID NOT IN CROSSWALK"))</f>
        <v/>
      </c>
      <c r="Q28" s="4"/>
      <c r="R28" s="5" t="str">
        <f aca="false">IF(P28="","",IFERROR(INDEX(Lists!$F$2:$F$5,MATCH(P28,Lists!$E$2:$E$5,0)),""))</f>
        <v/>
      </c>
      <c r="S28" s="4"/>
      <c r="T28" s="5" t="str">
        <f aca="false">IF(OR(Q28="",R28=""),"",IF(AND(MATCH(Q28,Lists!$A$2:$A$4,0)&gt;MATCH(R28,Lists!$A$2:$A$4,0),S28=""),R28,Q28))</f>
        <v/>
      </c>
      <c r="U28" s="5" t="str">
        <f aca="false">IF(T28="","",MAX(1,H28-(MATCH(T28,Lists!$A$2:$A$4,0)-1)))</f>
        <v/>
      </c>
      <c r="V28" s="5" t="str">
        <f aca="false">IF(U28="","",U28*I28)</f>
        <v/>
      </c>
      <c r="W28" s="5" t="str">
        <f aca="false">IF(U28="","",U28*J28)</f>
        <v/>
      </c>
      <c r="X28" s="5" t="str">
        <f aca="false">IF(U28="","",MAX(V28,W28))</f>
        <v/>
      </c>
      <c r="Y28" s="5" t="str">
        <f aca="false">IF(X28="","",CHOOSE(MAX(IF(X28&gt;=16,4,IF(X28&gt;=10,3,IF(X28&gt;=5,2,1))),IF(OR(I28=5,AND(I28&gt;=4,U28&gt;=2)),3,1)),"Low","Medium","High","Critical"))</f>
        <v/>
      </c>
      <c r="Z28" s="4"/>
      <c r="AA28" s="4"/>
      <c r="AB28" s="7"/>
      <c r="AC28" s="4"/>
      <c r="AD28" s="7"/>
    </row>
    <row r="29" customFormat="false" ht="15" hidden="false" customHeight="false" outlineLevel="0" collapsed="false">
      <c r="A29" s="4"/>
      <c r="B29" s="4"/>
      <c r="C29" s="4"/>
      <c r="D29" s="5" t="str">
        <f aca="false">IF(B29="","",IFERROR(INDEX('Crosswalk IDs'!$C$2:$C$47,MATCH(B29,'Crosswalk IDs'!$A$2:$A$47,0)),"ID NOT IN CROSSWALK"))</f>
        <v/>
      </c>
      <c r="E29" s="5" t="str">
        <f aca="false">IF(B29="","",IFERROR(INDEX('Crosswalk IDs'!$D$2:$D$47,MATCH(B29,'Crosswalk IDs'!$A$2:$A$47,0)),"ID NOT IN CROSSWALK"))</f>
        <v/>
      </c>
      <c r="F29" s="4"/>
      <c r="G29" s="4"/>
      <c r="H29" s="6"/>
      <c r="I29" s="6"/>
      <c r="J29" s="6"/>
      <c r="K29" s="5" t="str">
        <f aca="false">IF(OR(H29="",I29=""),"",H29*I29)</f>
        <v/>
      </c>
      <c r="L29" s="5" t="str">
        <f aca="false">IF(OR(H29="",J29=""),"",H29*J29)</f>
        <v/>
      </c>
      <c r="M29" s="5" t="str">
        <f aca="false">IF(K29="","",MAX(K29,L29))</f>
        <v/>
      </c>
      <c r="N29" s="5" t="str">
        <f aca="false">IF(M29="","",IF(K29&gt;L29,"Rights",IF(L29&gt;K29,"Organisation","Both equal")))</f>
        <v/>
      </c>
      <c r="O29" s="4"/>
      <c r="P29" s="5" t="str">
        <f aca="false">IF(B29="","",IFERROR(INDEX('Crosswalk IDs'!$E$2:$E$47,MATCH(B29,'Crosswalk IDs'!$A$2:$A$47,0)),"ID NOT IN CROSSWALK"))</f>
        <v/>
      </c>
      <c r="Q29" s="4"/>
      <c r="R29" s="5" t="str">
        <f aca="false">IF(P29="","",IFERROR(INDEX(Lists!$F$2:$F$5,MATCH(P29,Lists!$E$2:$E$5,0)),""))</f>
        <v/>
      </c>
      <c r="S29" s="4"/>
      <c r="T29" s="5" t="str">
        <f aca="false">IF(OR(Q29="",R29=""),"",IF(AND(MATCH(Q29,Lists!$A$2:$A$4,0)&gt;MATCH(R29,Lists!$A$2:$A$4,0),S29=""),R29,Q29))</f>
        <v/>
      </c>
      <c r="U29" s="5" t="str">
        <f aca="false">IF(T29="","",MAX(1,H29-(MATCH(T29,Lists!$A$2:$A$4,0)-1)))</f>
        <v/>
      </c>
      <c r="V29" s="5" t="str">
        <f aca="false">IF(U29="","",U29*I29)</f>
        <v/>
      </c>
      <c r="W29" s="5" t="str">
        <f aca="false">IF(U29="","",U29*J29)</f>
        <v/>
      </c>
      <c r="X29" s="5" t="str">
        <f aca="false">IF(U29="","",MAX(V29,W29))</f>
        <v/>
      </c>
      <c r="Y29" s="5" t="str">
        <f aca="false">IF(X29="","",CHOOSE(MAX(IF(X29&gt;=16,4,IF(X29&gt;=10,3,IF(X29&gt;=5,2,1))),IF(OR(I29=5,AND(I29&gt;=4,U29&gt;=2)),3,1)),"Low","Medium","High","Critical"))</f>
        <v/>
      </c>
      <c r="Z29" s="4"/>
      <c r="AA29" s="4"/>
      <c r="AB29" s="7"/>
      <c r="AC29" s="4"/>
      <c r="AD29" s="7"/>
    </row>
    <row r="30" customFormat="false" ht="15" hidden="false" customHeight="false" outlineLevel="0" collapsed="false">
      <c r="A30" s="4"/>
      <c r="B30" s="4"/>
      <c r="C30" s="4"/>
      <c r="D30" s="5" t="str">
        <f aca="false">IF(B30="","",IFERROR(INDEX('Crosswalk IDs'!$C$2:$C$47,MATCH(B30,'Crosswalk IDs'!$A$2:$A$47,0)),"ID NOT IN CROSSWALK"))</f>
        <v/>
      </c>
      <c r="E30" s="5" t="str">
        <f aca="false">IF(B30="","",IFERROR(INDEX('Crosswalk IDs'!$D$2:$D$47,MATCH(B30,'Crosswalk IDs'!$A$2:$A$47,0)),"ID NOT IN CROSSWALK"))</f>
        <v/>
      </c>
      <c r="F30" s="4"/>
      <c r="G30" s="4"/>
      <c r="H30" s="6"/>
      <c r="I30" s="6"/>
      <c r="J30" s="6"/>
      <c r="K30" s="5" t="str">
        <f aca="false">IF(OR(H30="",I30=""),"",H30*I30)</f>
        <v/>
      </c>
      <c r="L30" s="5" t="str">
        <f aca="false">IF(OR(H30="",J30=""),"",H30*J30)</f>
        <v/>
      </c>
      <c r="M30" s="5" t="str">
        <f aca="false">IF(K30="","",MAX(K30,L30))</f>
        <v/>
      </c>
      <c r="N30" s="5" t="str">
        <f aca="false">IF(M30="","",IF(K30&gt;L30,"Rights",IF(L30&gt;K30,"Organisation","Both equal")))</f>
        <v/>
      </c>
      <c r="O30" s="4"/>
      <c r="P30" s="5" t="str">
        <f aca="false">IF(B30="","",IFERROR(INDEX('Crosswalk IDs'!$E$2:$E$47,MATCH(B30,'Crosswalk IDs'!$A$2:$A$47,0)),"ID NOT IN CROSSWALK"))</f>
        <v/>
      </c>
      <c r="Q30" s="4"/>
      <c r="R30" s="5" t="str">
        <f aca="false">IF(P30="","",IFERROR(INDEX(Lists!$F$2:$F$5,MATCH(P30,Lists!$E$2:$E$5,0)),""))</f>
        <v/>
      </c>
      <c r="S30" s="4"/>
      <c r="T30" s="5" t="str">
        <f aca="false">IF(OR(Q30="",R30=""),"",IF(AND(MATCH(Q30,Lists!$A$2:$A$4,0)&gt;MATCH(R30,Lists!$A$2:$A$4,0),S30=""),R30,Q30))</f>
        <v/>
      </c>
      <c r="U30" s="5" t="str">
        <f aca="false">IF(T30="","",MAX(1,H30-(MATCH(T30,Lists!$A$2:$A$4,0)-1)))</f>
        <v/>
      </c>
      <c r="V30" s="5" t="str">
        <f aca="false">IF(U30="","",U30*I30)</f>
        <v/>
      </c>
      <c r="W30" s="5" t="str">
        <f aca="false">IF(U30="","",U30*J30)</f>
        <v/>
      </c>
      <c r="X30" s="5" t="str">
        <f aca="false">IF(U30="","",MAX(V30,W30))</f>
        <v/>
      </c>
      <c r="Y30" s="5" t="str">
        <f aca="false">IF(X30="","",CHOOSE(MAX(IF(X30&gt;=16,4,IF(X30&gt;=10,3,IF(X30&gt;=5,2,1))),IF(OR(I30=5,AND(I30&gt;=4,U30&gt;=2)),3,1)),"Low","Medium","High","Critical"))</f>
        <v/>
      </c>
      <c r="Z30" s="4"/>
      <c r="AA30" s="4"/>
      <c r="AB30" s="7"/>
      <c r="AC30" s="4"/>
      <c r="AD30" s="7"/>
    </row>
  </sheetData>
  <dataValidations count="5">
    <dataValidation allowBlank="true" error="Enter a whole number 1-5 (see Scoring Methodology)." errorStyle="stop" operator="between" showDropDown="false" showErrorMessage="true" showInputMessage="false" sqref="H2:J30" type="whole">
      <formula1>1</formula1>
      <formula2>5</formula2>
    </dataValidation>
    <dataValidation allowBlank="true" errorStyle="stop" operator="between" showDropDown="false" showErrorMessage="false" showInputMessage="false" sqref="Q2:Q30" type="list">
      <formula1>Lists!$A$2:$A$4</formula1>
      <formula2>0</formula2>
    </dataValidation>
    <dataValidation allowBlank="true" errorStyle="stop" operator="between" showDropDown="false" showErrorMessage="false" showInputMessage="false" sqref="AA2:AA30" type="list">
      <formula1>Lists!$H$2:$H$5</formula1>
      <formula2>0</formula2>
    </dataValidation>
    <dataValidation allowBlank="true" errorStyle="stop" operator="between" showDropDown="false" showErrorMessage="false" showInputMessage="false" sqref="G2:G30" type="list">
      <formula1>Lists!$J$2:$J$4</formula1>
      <formula2>0</formula2>
    </dataValidation>
    <dataValidation allowBlank="true" error="Must be an obligation_id from the crosswalk." errorStyle="stop" operator="between" showDropDown="false" showErrorMessage="true" showInputMessage="false" sqref="B2:B30" type="list">
      <formula1>'Crosswalk IDs'!$A$2:$A$47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20"/>
  </cols>
  <sheetData>
    <row r="1" customFormat="false" ht="15" hidden="false" customHeight="false" outlineLevel="0" collapsed="false">
      <c r="A1" s="8" t="s">
        <v>54</v>
      </c>
    </row>
    <row r="2" customFormat="false" ht="61.5" hidden="false" customHeight="true" outlineLevel="0" collapsed="false">
      <c r="A2" s="9" t="s">
        <v>55</v>
      </c>
      <c r="B2" s="9"/>
      <c r="C2" s="9"/>
    </row>
    <row r="4" customFormat="false" ht="15" hidden="false" customHeight="false" outlineLevel="0" collapsed="false">
      <c r="A4" s="8" t="s">
        <v>56</v>
      </c>
    </row>
    <row r="5" customFormat="false" ht="15" hidden="false" customHeight="false" outlineLevel="0" collapsed="false">
      <c r="A5" s="10" t="s">
        <v>57</v>
      </c>
      <c r="B5" s="10" t="s">
        <v>58</v>
      </c>
      <c r="C5" s="10" t="s">
        <v>59</v>
      </c>
    </row>
    <row r="6" customFormat="false" ht="15" hidden="false" customHeight="false" outlineLevel="0" collapsed="false">
      <c r="A6" s="11" t="n">
        <v>1</v>
      </c>
      <c r="B6" s="11" t="s">
        <v>60</v>
      </c>
      <c r="C6" s="11" t="s">
        <v>61</v>
      </c>
    </row>
    <row r="7" customFormat="false" ht="28.35" hidden="false" customHeight="false" outlineLevel="0" collapsed="false">
      <c r="A7" s="11" t="n">
        <v>2</v>
      </c>
      <c r="B7" s="11" t="s">
        <v>62</v>
      </c>
      <c r="C7" s="11" t="s">
        <v>63</v>
      </c>
    </row>
    <row r="8" customFormat="false" ht="15" hidden="false" customHeight="false" outlineLevel="0" collapsed="false">
      <c r="A8" s="11" t="n">
        <v>3</v>
      </c>
      <c r="B8" s="11" t="s">
        <v>64</v>
      </c>
      <c r="C8" s="11" t="s">
        <v>65</v>
      </c>
    </row>
    <row r="9" customFormat="false" ht="28.35" hidden="false" customHeight="false" outlineLevel="0" collapsed="false">
      <c r="A9" s="11" t="n">
        <v>4</v>
      </c>
      <c r="B9" s="11" t="s">
        <v>66</v>
      </c>
      <c r="C9" s="11" t="s">
        <v>67</v>
      </c>
    </row>
    <row r="10" customFormat="false" ht="15" hidden="false" customHeight="false" outlineLevel="0" collapsed="false">
      <c r="A10" s="11" t="n">
        <v>5</v>
      </c>
      <c r="B10" s="11" t="s">
        <v>68</v>
      </c>
      <c r="C10" s="11" t="s">
        <v>69</v>
      </c>
    </row>
    <row r="12" customFormat="false" ht="15" hidden="false" customHeight="false" outlineLevel="0" collapsed="false">
      <c r="A12" s="8" t="s">
        <v>70</v>
      </c>
    </row>
    <row r="13" customFormat="false" ht="15" hidden="false" customHeight="false" outlineLevel="0" collapsed="false">
      <c r="A13" s="10" t="s">
        <v>57</v>
      </c>
      <c r="B13" s="10" t="s">
        <v>58</v>
      </c>
      <c r="C13" s="10" t="s">
        <v>59</v>
      </c>
    </row>
    <row r="14" customFormat="false" ht="15" hidden="false" customHeight="false" outlineLevel="0" collapsed="false">
      <c r="A14" s="11" t="n">
        <v>1</v>
      </c>
      <c r="B14" s="11" t="s">
        <v>71</v>
      </c>
      <c r="C14" s="11" t="s">
        <v>72</v>
      </c>
    </row>
    <row r="15" customFormat="false" ht="15" hidden="false" customHeight="false" outlineLevel="0" collapsed="false">
      <c r="A15" s="11" t="n">
        <v>2</v>
      </c>
      <c r="B15" s="11" t="s">
        <v>73</v>
      </c>
      <c r="C15" s="11" t="s">
        <v>74</v>
      </c>
    </row>
    <row r="16" customFormat="false" ht="28.35" hidden="false" customHeight="false" outlineLevel="0" collapsed="false">
      <c r="A16" s="11" t="n">
        <v>3</v>
      </c>
      <c r="B16" s="11" t="s">
        <v>75</v>
      </c>
      <c r="C16" s="11" t="s">
        <v>76</v>
      </c>
    </row>
    <row r="17" customFormat="false" ht="28.35" hidden="false" customHeight="false" outlineLevel="0" collapsed="false">
      <c r="A17" s="11" t="n">
        <v>4</v>
      </c>
      <c r="B17" s="11" t="s">
        <v>77</v>
      </c>
      <c r="C17" s="11" t="s">
        <v>78</v>
      </c>
    </row>
    <row r="18" customFormat="false" ht="28.35" hidden="false" customHeight="false" outlineLevel="0" collapsed="false">
      <c r="A18" s="11" t="n">
        <v>5</v>
      </c>
      <c r="B18" s="11" t="s">
        <v>79</v>
      </c>
      <c r="C18" s="11" t="s">
        <v>80</v>
      </c>
    </row>
    <row r="20" customFormat="false" ht="15" hidden="false" customHeight="false" outlineLevel="0" collapsed="false">
      <c r="A20" s="8" t="s">
        <v>81</v>
      </c>
    </row>
    <row r="21" customFormat="false" ht="15" hidden="false" customHeight="false" outlineLevel="0" collapsed="false">
      <c r="A21" s="10" t="s">
        <v>57</v>
      </c>
      <c r="B21" s="10" t="s">
        <v>58</v>
      </c>
      <c r="C21" s="10" t="s">
        <v>59</v>
      </c>
    </row>
    <row r="22" customFormat="false" ht="15" hidden="false" customHeight="false" outlineLevel="0" collapsed="false">
      <c r="A22" s="11" t="n">
        <v>1</v>
      </c>
      <c r="B22" s="11" t="s">
        <v>71</v>
      </c>
      <c r="C22" s="11" t="s">
        <v>82</v>
      </c>
    </row>
    <row r="23" customFormat="false" ht="15" hidden="false" customHeight="false" outlineLevel="0" collapsed="false">
      <c r="A23" s="11" t="n">
        <v>2</v>
      </c>
      <c r="B23" s="11" t="s">
        <v>73</v>
      </c>
      <c r="C23" s="11" t="s">
        <v>83</v>
      </c>
    </row>
    <row r="24" customFormat="false" ht="15" hidden="false" customHeight="false" outlineLevel="0" collapsed="false">
      <c r="A24" s="11" t="n">
        <v>3</v>
      </c>
      <c r="B24" s="11" t="s">
        <v>75</v>
      </c>
      <c r="C24" s="11" t="s">
        <v>84</v>
      </c>
    </row>
    <row r="25" customFormat="false" ht="28.35" hidden="false" customHeight="false" outlineLevel="0" collapsed="false">
      <c r="A25" s="11" t="n">
        <v>4</v>
      </c>
      <c r="B25" s="11" t="s">
        <v>77</v>
      </c>
      <c r="C25" s="11" t="s">
        <v>85</v>
      </c>
    </row>
    <row r="26" customFormat="false" ht="41.75" hidden="false" customHeight="false" outlineLevel="0" collapsed="false">
      <c r="A26" s="11" t="n">
        <v>5</v>
      </c>
      <c r="B26" s="11" t="s">
        <v>79</v>
      </c>
      <c r="C26" s="11" t="s">
        <v>86</v>
      </c>
    </row>
    <row r="28" customFormat="false" ht="15" hidden="false" customHeight="false" outlineLevel="0" collapsed="false">
      <c r="A28" s="8" t="s">
        <v>87</v>
      </c>
    </row>
    <row r="29" customFormat="false" ht="15" hidden="false" customHeight="false" outlineLevel="0" collapsed="false">
      <c r="A29" s="10" t="s">
        <v>88</v>
      </c>
      <c r="B29" s="10" t="s">
        <v>89</v>
      </c>
      <c r="C29" s="10" t="s">
        <v>59</v>
      </c>
    </row>
    <row r="30" customFormat="false" ht="15" hidden="false" customHeight="false" outlineLevel="0" collapsed="false">
      <c r="A30" s="11" t="n">
        <v>0</v>
      </c>
      <c r="B30" s="11" t="s">
        <v>90</v>
      </c>
      <c r="C30" s="11" t="s">
        <v>91</v>
      </c>
    </row>
    <row r="31" customFormat="false" ht="15" hidden="false" customHeight="false" outlineLevel="0" collapsed="false">
      <c r="A31" s="11" t="n">
        <v>1</v>
      </c>
      <c r="B31" s="11" t="s">
        <v>42</v>
      </c>
      <c r="C31" s="11" t="s">
        <v>92</v>
      </c>
    </row>
    <row r="32" customFormat="false" ht="15" hidden="false" customHeight="false" outlineLevel="0" collapsed="false">
      <c r="A32" s="11" t="n">
        <v>2</v>
      </c>
      <c r="B32" s="11" t="s">
        <v>93</v>
      </c>
      <c r="C32" s="11" t="s">
        <v>94</v>
      </c>
    </row>
    <row r="34" customFormat="false" ht="15" hidden="false" customHeight="false" outlineLevel="0" collapsed="false">
      <c r="A34" s="8" t="s">
        <v>95</v>
      </c>
    </row>
    <row r="35" customFormat="false" ht="15" hidden="false" customHeight="false" outlineLevel="0" collapsed="false">
      <c r="A35" s="10"/>
      <c r="B35" s="10" t="s">
        <v>96</v>
      </c>
      <c r="C35" s="10" t="s">
        <v>97</v>
      </c>
    </row>
    <row r="36" customFormat="false" ht="28.35" hidden="false" customHeight="false" outlineLevel="0" collapsed="false">
      <c r="A36" s="11"/>
      <c r="B36" s="11" t="s">
        <v>98</v>
      </c>
      <c r="C36" s="11" t="s">
        <v>93</v>
      </c>
    </row>
    <row r="37" customFormat="false" ht="15" hidden="false" customHeight="false" outlineLevel="0" collapsed="false">
      <c r="A37" s="11"/>
      <c r="B37" s="11" t="s">
        <v>99</v>
      </c>
      <c r="C37" s="11" t="s">
        <v>42</v>
      </c>
    </row>
    <row r="38" customFormat="false" ht="15" hidden="false" customHeight="false" outlineLevel="0" collapsed="false">
      <c r="A38" s="11"/>
      <c r="B38" s="11" t="s">
        <v>100</v>
      </c>
      <c r="C38" s="11" t="s">
        <v>90</v>
      </c>
    </row>
    <row r="39" customFormat="false" ht="15" hidden="false" customHeight="false" outlineLevel="0" collapsed="false">
      <c r="A39" s="11"/>
      <c r="B39" s="11" t="s">
        <v>101</v>
      </c>
      <c r="C39" s="11" t="s">
        <v>90</v>
      </c>
    </row>
    <row r="41" customFormat="false" ht="15" hidden="false" customHeight="false" outlineLevel="0" collapsed="false">
      <c r="A41" s="8" t="s">
        <v>102</v>
      </c>
    </row>
    <row r="42" customFormat="false" ht="15" hidden="false" customHeight="false" outlineLevel="0" collapsed="false">
      <c r="A42" s="10"/>
      <c r="B42" s="10" t="s">
        <v>103</v>
      </c>
      <c r="C42" s="10" t="s">
        <v>104</v>
      </c>
    </row>
    <row r="43" customFormat="false" ht="28.35" hidden="false" customHeight="false" outlineLevel="0" collapsed="false">
      <c r="A43" s="11"/>
      <c r="B43" s="11" t="s">
        <v>105</v>
      </c>
      <c r="C43" s="11" t="s">
        <v>106</v>
      </c>
    </row>
    <row r="44" customFormat="false" ht="15" hidden="false" customHeight="false" outlineLevel="0" collapsed="false">
      <c r="A44" s="11"/>
      <c r="B44" s="11" t="s">
        <v>107</v>
      </c>
      <c r="C44" s="11" t="s">
        <v>108</v>
      </c>
    </row>
    <row r="45" customFormat="false" ht="15" hidden="false" customHeight="false" outlineLevel="0" collapsed="false">
      <c r="A45" s="11"/>
      <c r="B45" s="11" t="s">
        <v>109</v>
      </c>
      <c r="C45" s="11" t="s">
        <v>110</v>
      </c>
    </row>
    <row r="46" customFormat="false" ht="15" hidden="false" customHeight="false" outlineLevel="0" collapsed="false">
      <c r="A46" s="11"/>
      <c r="B46" s="11" t="s">
        <v>111</v>
      </c>
      <c r="C46" s="11" t="s">
        <v>112</v>
      </c>
    </row>
    <row r="47" customFormat="false" ht="15" hidden="false" customHeight="false" outlineLevel="0" collapsed="false">
      <c r="A47" s="11"/>
      <c r="B47" s="11" t="s">
        <v>113</v>
      </c>
      <c r="C47" s="11" t="s">
        <v>114</v>
      </c>
    </row>
    <row r="48" customFormat="false" ht="28.35" hidden="false" customHeight="false" outlineLevel="0" collapsed="false">
      <c r="A48" s="11"/>
      <c r="B48" s="11" t="s">
        <v>115</v>
      </c>
      <c r="C48" s="11" t="s">
        <v>116</v>
      </c>
    </row>
    <row r="50" customFormat="false" ht="15" hidden="false" customHeight="false" outlineLevel="0" collapsed="false">
      <c r="A50" s="8" t="s">
        <v>117</v>
      </c>
    </row>
    <row r="51" customFormat="false" ht="15" hidden="false" customHeight="false" outlineLevel="0" collapsed="false">
      <c r="A51" s="10" t="s">
        <v>118</v>
      </c>
      <c r="B51" s="10"/>
      <c r="C51" s="10" t="s">
        <v>119</v>
      </c>
    </row>
    <row r="52" customFormat="false" ht="41.75" hidden="false" customHeight="false" outlineLevel="0" collapsed="false">
      <c r="A52" s="11" t="n">
        <v>1</v>
      </c>
      <c r="B52" s="11"/>
      <c r="C52" s="11" t="s">
        <v>120</v>
      </c>
    </row>
    <row r="53" customFormat="false" ht="28.35" hidden="false" customHeight="false" outlineLevel="0" collapsed="false">
      <c r="A53" s="11" t="n">
        <v>2</v>
      </c>
      <c r="B53" s="11"/>
      <c r="C53" s="11" t="s">
        <v>121</v>
      </c>
    </row>
    <row r="54" customFormat="false" ht="28.35" hidden="false" customHeight="false" outlineLevel="0" collapsed="false">
      <c r="A54" s="11" t="n">
        <v>3</v>
      </c>
      <c r="B54" s="11"/>
      <c r="C54" s="11" t="s">
        <v>122</v>
      </c>
    </row>
    <row r="55" customFormat="false" ht="28.35" hidden="false" customHeight="false" outlineLevel="0" collapsed="false">
      <c r="A55" s="11" t="n">
        <v>4</v>
      </c>
      <c r="B55" s="11"/>
      <c r="C55" s="11" t="s">
        <v>123</v>
      </c>
    </row>
    <row r="56" customFormat="false" ht="28.35" hidden="false" customHeight="false" outlineLevel="0" collapsed="false">
      <c r="A56" s="11" t="n">
        <v>5</v>
      </c>
      <c r="B56" s="11"/>
      <c r="C56" s="11" t="s">
        <v>124</v>
      </c>
    </row>
    <row r="57" customFormat="false" ht="28.35" hidden="false" customHeight="false" outlineLevel="0" collapsed="false">
      <c r="A57" s="11" t="n">
        <v>6</v>
      </c>
      <c r="B57" s="11"/>
      <c r="C57" s="11" t="s">
        <v>125</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70"/>
    <col collapsed="false" customWidth="true" hidden="false" outlineLevel="0" max="5" min="5" style="0" width="24"/>
    <col collapsed="false" customWidth="true" hidden="false" outlineLevel="0" max="6" min="6" style="0" width="22"/>
    <col collapsed="false" customWidth="true" hidden="false" outlineLevel="0" max="8" min="8" style="0" width="14"/>
    <col collapsed="false" customWidth="true" hidden="false" outlineLevel="0" max="10" min="10" style="0" width="16"/>
  </cols>
  <sheetData>
    <row r="1" customFormat="false" ht="15" hidden="false" customHeight="false" outlineLevel="0" collapsed="false">
      <c r="A1" s="12" t="s">
        <v>126</v>
      </c>
      <c r="B1" s="12" t="s">
        <v>127</v>
      </c>
      <c r="C1" s="12" t="s">
        <v>59</v>
      </c>
      <c r="D1" s="12"/>
      <c r="E1" s="12" t="s">
        <v>128</v>
      </c>
      <c r="F1" s="12" t="s">
        <v>129</v>
      </c>
      <c r="G1" s="12"/>
      <c r="H1" s="12" t="s">
        <v>130</v>
      </c>
      <c r="I1" s="12"/>
      <c r="J1" s="12" t="s">
        <v>131</v>
      </c>
    </row>
    <row r="2" customFormat="false" ht="15" hidden="false" customHeight="false" outlineLevel="0" collapsed="false">
      <c r="A2" s="0" t="s">
        <v>90</v>
      </c>
      <c r="B2" s="0" t="n">
        <v>0</v>
      </c>
      <c r="C2" s="0" t="s">
        <v>91</v>
      </c>
      <c r="E2" s="0" t="s">
        <v>98</v>
      </c>
      <c r="F2" s="0" t="s">
        <v>93</v>
      </c>
      <c r="H2" s="0" t="s">
        <v>44</v>
      </c>
      <c r="J2" s="0" t="s">
        <v>132</v>
      </c>
    </row>
    <row r="3" customFormat="false" ht="15" hidden="false" customHeight="false" outlineLevel="0" collapsed="false">
      <c r="A3" s="0" t="s">
        <v>42</v>
      </c>
      <c r="B3" s="0" t="n">
        <v>1</v>
      </c>
      <c r="C3" s="0" t="s">
        <v>92</v>
      </c>
      <c r="E3" s="0" t="s">
        <v>99</v>
      </c>
      <c r="F3" s="0" t="s">
        <v>42</v>
      </c>
      <c r="H3" s="0" t="s">
        <v>133</v>
      </c>
      <c r="J3" s="0" t="s">
        <v>134</v>
      </c>
    </row>
    <row r="4" customFormat="false" ht="15" hidden="false" customHeight="false" outlineLevel="0" collapsed="false">
      <c r="A4" s="0" t="s">
        <v>93</v>
      </c>
      <c r="B4" s="0" t="n">
        <v>2</v>
      </c>
      <c r="C4" s="0" t="s">
        <v>94</v>
      </c>
      <c r="E4" s="0" t="s">
        <v>100</v>
      </c>
      <c r="F4" s="0" t="s">
        <v>90</v>
      </c>
      <c r="H4" s="0" t="s">
        <v>135</v>
      </c>
      <c r="J4" s="0" t="s">
        <v>40</v>
      </c>
    </row>
    <row r="5" customFormat="false" ht="15" hidden="false" customHeight="false" outlineLevel="0" collapsed="false">
      <c r="E5" s="0" t="s">
        <v>101</v>
      </c>
      <c r="F5" s="0" t="s">
        <v>90</v>
      </c>
      <c r="H5" s="0"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20"/>
    <col collapsed="false" customWidth="true" hidden="false" outlineLevel="0" max="4" min="4" style="0" width="22"/>
    <col collapsed="false" customWidth="true" hidden="false" outlineLevel="0" max="6" min="5" style="0" width="24"/>
  </cols>
  <sheetData>
    <row r="1" customFormat="false" ht="15" hidden="false" customHeight="false" outlineLevel="0" collapsed="false">
      <c r="A1" s="12" t="s">
        <v>137</v>
      </c>
      <c r="B1" s="12" t="s">
        <v>138</v>
      </c>
      <c r="C1" s="12" t="s">
        <v>139</v>
      </c>
      <c r="D1" s="12" t="s">
        <v>140</v>
      </c>
      <c r="E1" s="12" t="s">
        <v>141</v>
      </c>
      <c r="F1" s="12" t="s">
        <v>142</v>
      </c>
    </row>
    <row r="2" customFormat="false" ht="15" hidden="false" customHeight="false" outlineLevel="0" collapsed="false">
      <c r="A2" s="0" t="s">
        <v>143</v>
      </c>
      <c r="B2" s="0" t="s">
        <v>144</v>
      </c>
      <c r="C2" s="0" t="s">
        <v>145</v>
      </c>
      <c r="D2" s="0" t="s">
        <v>146</v>
      </c>
      <c r="E2" s="0" t="s">
        <v>99</v>
      </c>
      <c r="F2" s="0" t="s">
        <v>99</v>
      </c>
    </row>
    <row r="3" customFormat="false" ht="15" hidden="false" customHeight="false" outlineLevel="0" collapsed="false">
      <c r="A3" s="0" t="s">
        <v>147</v>
      </c>
      <c r="B3" s="0" t="s">
        <v>148</v>
      </c>
      <c r="C3" s="0" t="s">
        <v>145</v>
      </c>
      <c r="D3" s="0" t="s">
        <v>146</v>
      </c>
      <c r="E3" s="0" t="s">
        <v>99</v>
      </c>
      <c r="F3" s="0" t="s">
        <v>99</v>
      </c>
    </row>
    <row r="4" customFormat="false" ht="15" hidden="false" customHeight="false" outlineLevel="0" collapsed="false">
      <c r="A4" s="0" t="s">
        <v>149</v>
      </c>
      <c r="B4" s="0" t="s">
        <v>150</v>
      </c>
      <c r="C4" s="0" t="s">
        <v>145</v>
      </c>
      <c r="D4" s="0" t="s">
        <v>146</v>
      </c>
      <c r="E4" s="0" t="s">
        <v>99</v>
      </c>
      <c r="F4" s="0" t="s">
        <v>100</v>
      </c>
    </row>
    <row r="5" customFormat="false" ht="15" hidden="false" customHeight="false" outlineLevel="0" collapsed="false">
      <c r="A5" s="0" t="s">
        <v>151</v>
      </c>
      <c r="B5" s="0" t="s">
        <v>152</v>
      </c>
      <c r="C5" s="0" t="s">
        <v>145</v>
      </c>
      <c r="D5" s="0" t="s">
        <v>146</v>
      </c>
      <c r="E5" s="0" t="s">
        <v>98</v>
      </c>
      <c r="F5" s="0" t="s">
        <v>99</v>
      </c>
    </row>
    <row r="6" customFormat="false" ht="15" hidden="false" customHeight="false" outlineLevel="0" collapsed="false">
      <c r="A6" s="0" t="s">
        <v>37</v>
      </c>
      <c r="B6" s="0" t="s">
        <v>153</v>
      </c>
      <c r="C6" s="0" t="s">
        <v>145</v>
      </c>
      <c r="D6" s="0" t="s">
        <v>146</v>
      </c>
      <c r="E6" s="0" t="s">
        <v>99</v>
      </c>
      <c r="F6" s="0" t="s">
        <v>99</v>
      </c>
    </row>
    <row r="7" customFormat="false" ht="15" hidden="false" customHeight="false" outlineLevel="0" collapsed="false">
      <c r="A7" s="0" t="s">
        <v>154</v>
      </c>
      <c r="B7" s="0" t="s">
        <v>155</v>
      </c>
      <c r="C7" s="0" t="s">
        <v>145</v>
      </c>
      <c r="D7" s="0" t="s">
        <v>146</v>
      </c>
      <c r="E7" s="0" t="s">
        <v>100</v>
      </c>
      <c r="F7" s="0" t="s">
        <v>100</v>
      </c>
    </row>
    <row r="8" customFormat="false" ht="15" hidden="false" customHeight="false" outlineLevel="0" collapsed="false">
      <c r="A8" s="0" t="s">
        <v>156</v>
      </c>
      <c r="B8" s="0" t="s">
        <v>157</v>
      </c>
      <c r="C8" s="0" t="s">
        <v>145</v>
      </c>
      <c r="D8" s="0" t="s">
        <v>146</v>
      </c>
      <c r="E8" s="0" t="s">
        <v>99</v>
      </c>
      <c r="F8" s="0" t="s">
        <v>100</v>
      </c>
    </row>
    <row r="9" customFormat="false" ht="15" hidden="false" customHeight="false" outlineLevel="0" collapsed="false">
      <c r="A9" s="0" t="s">
        <v>158</v>
      </c>
      <c r="B9" s="0" t="s">
        <v>159</v>
      </c>
      <c r="C9" s="0" t="s">
        <v>145</v>
      </c>
      <c r="D9" s="0" t="s">
        <v>146</v>
      </c>
      <c r="E9" s="0" t="s">
        <v>99</v>
      </c>
      <c r="F9" s="0" t="s">
        <v>100</v>
      </c>
    </row>
    <row r="10" customFormat="false" ht="15" hidden="false" customHeight="false" outlineLevel="0" collapsed="false">
      <c r="A10" s="0" t="s">
        <v>160</v>
      </c>
      <c r="B10" s="0" t="s">
        <v>161</v>
      </c>
      <c r="C10" s="0" t="s">
        <v>145</v>
      </c>
      <c r="D10" s="0" t="s">
        <v>146</v>
      </c>
      <c r="E10" s="0" t="s">
        <v>99</v>
      </c>
      <c r="F10" s="0" t="s">
        <v>99</v>
      </c>
    </row>
    <row r="11" customFormat="false" ht="15" hidden="false" customHeight="false" outlineLevel="0" collapsed="false">
      <c r="A11" s="0" t="s">
        <v>162</v>
      </c>
      <c r="B11" s="0" t="s">
        <v>163</v>
      </c>
      <c r="C11" s="0" t="s">
        <v>145</v>
      </c>
      <c r="D11" s="0" t="s">
        <v>146</v>
      </c>
      <c r="E11" s="0" t="s">
        <v>100</v>
      </c>
      <c r="F11" s="0" t="s">
        <v>99</v>
      </c>
    </row>
    <row r="12" customFormat="false" ht="15" hidden="false" customHeight="false" outlineLevel="0" collapsed="false">
      <c r="A12" s="0" t="s">
        <v>164</v>
      </c>
      <c r="B12" s="0" t="s">
        <v>165</v>
      </c>
      <c r="C12" s="0" t="s">
        <v>145</v>
      </c>
      <c r="D12" s="0" t="s">
        <v>146</v>
      </c>
      <c r="E12" s="0" t="s">
        <v>99</v>
      </c>
      <c r="F12" s="0" t="s">
        <v>99</v>
      </c>
    </row>
    <row r="13" customFormat="false" ht="15" hidden="false" customHeight="false" outlineLevel="0" collapsed="false">
      <c r="A13" s="0" t="s">
        <v>166</v>
      </c>
      <c r="B13" s="0" t="s">
        <v>167</v>
      </c>
      <c r="C13" s="0" t="s">
        <v>145</v>
      </c>
      <c r="D13" s="0" t="s">
        <v>146</v>
      </c>
      <c r="E13" s="0" t="s">
        <v>100</v>
      </c>
      <c r="F13" s="0" t="s">
        <v>99</v>
      </c>
    </row>
    <row r="14" customFormat="false" ht="15" hidden="false" customHeight="false" outlineLevel="0" collapsed="false">
      <c r="A14" s="0" t="s">
        <v>168</v>
      </c>
      <c r="B14" s="0" t="s">
        <v>169</v>
      </c>
      <c r="C14" s="0" t="s">
        <v>145</v>
      </c>
      <c r="D14" s="0" t="s">
        <v>146</v>
      </c>
      <c r="E14" s="0" t="s">
        <v>98</v>
      </c>
      <c r="F14" s="0" t="s">
        <v>99</v>
      </c>
    </row>
    <row r="15" customFormat="false" ht="15" hidden="false" customHeight="false" outlineLevel="0" collapsed="false">
      <c r="A15" s="0" t="s">
        <v>170</v>
      </c>
      <c r="B15" s="0" t="s">
        <v>171</v>
      </c>
      <c r="C15" s="0" t="s">
        <v>145</v>
      </c>
      <c r="D15" s="0" t="s">
        <v>146</v>
      </c>
      <c r="E15" s="0" t="s">
        <v>99</v>
      </c>
      <c r="F15" s="0" t="s">
        <v>100</v>
      </c>
    </row>
    <row r="16" customFormat="false" ht="15" hidden="false" customHeight="false" outlineLevel="0" collapsed="false">
      <c r="A16" s="0" t="s">
        <v>172</v>
      </c>
      <c r="B16" s="0" t="s">
        <v>173</v>
      </c>
      <c r="C16" s="0" t="s">
        <v>145</v>
      </c>
      <c r="D16" s="0" t="s">
        <v>146</v>
      </c>
      <c r="E16" s="0" t="s">
        <v>100</v>
      </c>
      <c r="F16" s="0" t="s">
        <v>100</v>
      </c>
    </row>
    <row r="17" customFormat="false" ht="15" hidden="false" customHeight="false" outlineLevel="0" collapsed="false">
      <c r="A17" s="0" t="s">
        <v>174</v>
      </c>
      <c r="B17" s="0" t="s">
        <v>175</v>
      </c>
      <c r="C17" s="0" t="s">
        <v>145</v>
      </c>
      <c r="D17" s="0" t="s">
        <v>146</v>
      </c>
      <c r="E17" s="0" t="s">
        <v>101</v>
      </c>
      <c r="F17" s="0" t="s">
        <v>101</v>
      </c>
    </row>
    <row r="18" customFormat="false" ht="15" hidden="false" customHeight="false" outlineLevel="0" collapsed="false">
      <c r="A18" s="0" t="s">
        <v>176</v>
      </c>
      <c r="B18" s="0" t="s">
        <v>177</v>
      </c>
      <c r="C18" s="0" t="s">
        <v>145</v>
      </c>
      <c r="D18" s="0" t="s">
        <v>146</v>
      </c>
      <c r="E18" s="0" t="s">
        <v>101</v>
      </c>
      <c r="F18" s="0" t="s">
        <v>101</v>
      </c>
    </row>
    <row r="19" customFormat="false" ht="15" hidden="false" customHeight="false" outlineLevel="0" collapsed="false">
      <c r="A19" s="0" t="s">
        <v>178</v>
      </c>
      <c r="B19" s="0" t="s">
        <v>179</v>
      </c>
      <c r="C19" s="0" t="s">
        <v>145</v>
      </c>
      <c r="D19" s="0" t="s">
        <v>146</v>
      </c>
      <c r="E19" s="0" t="s">
        <v>100</v>
      </c>
      <c r="F19" s="0" t="s">
        <v>100</v>
      </c>
    </row>
    <row r="20" customFormat="false" ht="15" hidden="false" customHeight="false" outlineLevel="0" collapsed="false">
      <c r="A20" s="0" t="s">
        <v>180</v>
      </c>
      <c r="B20" s="0" t="s">
        <v>181</v>
      </c>
      <c r="C20" s="0" t="s">
        <v>145</v>
      </c>
      <c r="D20" s="0" t="s">
        <v>146</v>
      </c>
      <c r="E20" s="0" t="s">
        <v>100</v>
      </c>
      <c r="F20" s="0" t="s">
        <v>100</v>
      </c>
    </row>
    <row r="21" customFormat="false" ht="15" hidden="false" customHeight="false" outlineLevel="0" collapsed="false">
      <c r="A21" s="0" t="s">
        <v>182</v>
      </c>
      <c r="B21" s="0" t="s">
        <v>183</v>
      </c>
      <c r="C21" s="0" t="s">
        <v>145</v>
      </c>
      <c r="D21" s="0" t="s">
        <v>146</v>
      </c>
      <c r="E21" s="0" t="s">
        <v>99</v>
      </c>
      <c r="F21" s="0" t="s">
        <v>99</v>
      </c>
    </row>
    <row r="22" customFormat="false" ht="15" hidden="false" customHeight="false" outlineLevel="0" collapsed="false">
      <c r="A22" s="0" t="s">
        <v>184</v>
      </c>
      <c r="B22" s="0" t="s">
        <v>185</v>
      </c>
      <c r="C22" s="0" t="s">
        <v>145</v>
      </c>
      <c r="D22" s="0" t="s">
        <v>146</v>
      </c>
      <c r="E22" s="0" t="s">
        <v>99</v>
      </c>
      <c r="F22" s="0" t="s">
        <v>99</v>
      </c>
    </row>
    <row r="23" customFormat="false" ht="15" hidden="false" customHeight="false" outlineLevel="0" collapsed="false">
      <c r="A23" s="0" t="s">
        <v>186</v>
      </c>
      <c r="B23" s="0" t="s">
        <v>187</v>
      </c>
      <c r="C23" s="0" t="s">
        <v>145</v>
      </c>
      <c r="D23" s="0" t="s">
        <v>146</v>
      </c>
      <c r="E23" s="0" t="s">
        <v>99</v>
      </c>
      <c r="F23" s="0" t="s">
        <v>99</v>
      </c>
    </row>
    <row r="24" customFormat="false" ht="15" hidden="false" customHeight="false" outlineLevel="0" collapsed="false">
      <c r="A24" s="0" t="s">
        <v>188</v>
      </c>
      <c r="B24" s="0" t="s">
        <v>189</v>
      </c>
      <c r="C24" s="0" t="s">
        <v>145</v>
      </c>
      <c r="D24" s="0" t="s">
        <v>146</v>
      </c>
      <c r="E24" s="0" t="s">
        <v>99</v>
      </c>
      <c r="F24" s="0" t="s">
        <v>99</v>
      </c>
    </row>
    <row r="25" customFormat="false" ht="15" hidden="false" customHeight="false" outlineLevel="0" collapsed="false">
      <c r="A25" s="0" t="s">
        <v>190</v>
      </c>
      <c r="B25" s="0" t="s">
        <v>191</v>
      </c>
      <c r="C25" s="0" t="s">
        <v>145</v>
      </c>
      <c r="D25" s="0" t="s">
        <v>146</v>
      </c>
      <c r="E25" s="0" t="s">
        <v>101</v>
      </c>
      <c r="F25" s="0" t="s">
        <v>101</v>
      </c>
    </row>
    <row r="26" customFormat="false" ht="15" hidden="false" customHeight="false" outlineLevel="0" collapsed="false">
      <c r="A26" s="0" t="s">
        <v>192</v>
      </c>
      <c r="B26" s="0" t="s">
        <v>193</v>
      </c>
      <c r="C26" s="0" t="s">
        <v>145</v>
      </c>
      <c r="D26" s="0" t="s">
        <v>194</v>
      </c>
      <c r="E26" s="0" t="s">
        <v>98</v>
      </c>
      <c r="F26" s="0" t="s">
        <v>99</v>
      </c>
    </row>
    <row r="27" customFormat="false" ht="15" hidden="false" customHeight="false" outlineLevel="0" collapsed="false">
      <c r="A27" s="0" t="s">
        <v>195</v>
      </c>
      <c r="B27" s="0" t="s">
        <v>193</v>
      </c>
      <c r="C27" s="0" t="s">
        <v>196</v>
      </c>
      <c r="D27" s="0" t="s">
        <v>194</v>
      </c>
      <c r="E27" s="0" t="s">
        <v>98</v>
      </c>
      <c r="F27" s="0" t="s">
        <v>99</v>
      </c>
    </row>
    <row r="28" customFormat="false" ht="15" hidden="false" customHeight="false" outlineLevel="0" collapsed="false">
      <c r="A28" s="0" t="s">
        <v>197</v>
      </c>
      <c r="B28" s="0" t="s">
        <v>198</v>
      </c>
      <c r="C28" s="0" t="s">
        <v>196</v>
      </c>
      <c r="D28" s="0" t="s">
        <v>146</v>
      </c>
      <c r="E28" s="0" t="s">
        <v>98</v>
      </c>
      <c r="F28" s="0" t="s">
        <v>99</v>
      </c>
    </row>
    <row r="29" customFormat="false" ht="15" hidden="false" customHeight="false" outlineLevel="0" collapsed="false">
      <c r="A29" s="0" t="s">
        <v>199</v>
      </c>
      <c r="B29" s="0" t="s">
        <v>200</v>
      </c>
      <c r="C29" s="0" t="s">
        <v>196</v>
      </c>
      <c r="D29" s="0" t="s">
        <v>146</v>
      </c>
      <c r="E29" s="0" t="s">
        <v>99</v>
      </c>
      <c r="F29" s="0" t="s">
        <v>99</v>
      </c>
    </row>
    <row r="30" customFormat="false" ht="15" hidden="false" customHeight="false" outlineLevel="0" collapsed="false">
      <c r="A30" s="0" t="s">
        <v>201</v>
      </c>
      <c r="B30" s="0" t="s">
        <v>202</v>
      </c>
      <c r="C30" s="0" t="s">
        <v>196</v>
      </c>
      <c r="D30" s="0" t="s">
        <v>146</v>
      </c>
      <c r="E30" s="0" t="s">
        <v>99</v>
      </c>
      <c r="F30" s="0" t="s">
        <v>100</v>
      </c>
    </row>
    <row r="31" customFormat="false" ht="15" hidden="false" customHeight="false" outlineLevel="0" collapsed="false">
      <c r="A31" s="0" t="s">
        <v>203</v>
      </c>
      <c r="B31" s="0" t="s">
        <v>204</v>
      </c>
      <c r="C31" s="0" t="s">
        <v>196</v>
      </c>
      <c r="D31" s="0" t="s">
        <v>146</v>
      </c>
      <c r="E31" s="0" t="s">
        <v>99</v>
      </c>
      <c r="F31" s="0" t="s">
        <v>99</v>
      </c>
    </row>
    <row r="32" customFormat="false" ht="15" hidden="false" customHeight="false" outlineLevel="0" collapsed="false">
      <c r="A32" s="0" t="s">
        <v>205</v>
      </c>
      <c r="B32" s="0" t="s">
        <v>206</v>
      </c>
      <c r="C32" s="0" t="s">
        <v>196</v>
      </c>
      <c r="D32" s="0" t="s">
        <v>146</v>
      </c>
      <c r="E32" s="0" t="s">
        <v>100</v>
      </c>
      <c r="F32" s="0" t="s">
        <v>100</v>
      </c>
    </row>
    <row r="33" customFormat="false" ht="15" hidden="false" customHeight="false" outlineLevel="0" collapsed="false">
      <c r="A33" s="0" t="s">
        <v>207</v>
      </c>
      <c r="B33" s="0" t="s">
        <v>208</v>
      </c>
      <c r="C33" s="0" t="s">
        <v>196</v>
      </c>
      <c r="D33" s="0" t="s">
        <v>146</v>
      </c>
      <c r="E33" s="0" t="s">
        <v>99</v>
      </c>
      <c r="F33" s="0" t="s">
        <v>100</v>
      </c>
    </row>
    <row r="34" customFormat="false" ht="15" hidden="false" customHeight="false" outlineLevel="0" collapsed="false">
      <c r="A34" s="0" t="s">
        <v>209</v>
      </c>
      <c r="B34" s="0" t="s">
        <v>210</v>
      </c>
      <c r="C34" s="0" t="s">
        <v>196</v>
      </c>
      <c r="D34" s="0" t="s">
        <v>146</v>
      </c>
      <c r="E34" s="0" t="s">
        <v>98</v>
      </c>
      <c r="F34" s="0" t="s">
        <v>99</v>
      </c>
    </row>
    <row r="35" customFormat="false" ht="15" hidden="false" customHeight="false" outlineLevel="0" collapsed="false">
      <c r="A35" s="0" t="s">
        <v>211</v>
      </c>
      <c r="B35" s="0" t="s">
        <v>212</v>
      </c>
      <c r="C35" s="0" t="s">
        <v>196</v>
      </c>
      <c r="D35" s="0" t="s">
        <v>146</v>
      </c>
      <c r="E35" s="0" t="s">
        <v>100</v>
      </c>
      <c r="F35" s="0" t="s">
        <v>100</v>
      </c>
    </row>
    <row r="36" customFormat="false" ht="15" hidden="false" customHeight="false" outlineLevel="0" collapsed="false">
      <c r="A36" s="0" t="s">
        <v>213</v>
      </c>
      <c r="B36" s="0" t="s">
        <v>214</v>
      </c>
      <c r="C36" s="0" t="s">
        <v>215</v>
      </c>
      <c r="D36" s="0" t="s">
        <v>146</v>
      </c>
      <c r="E36" s="0" t="s">
        <v>100</v>
      </c>
      <c r="F36" s="0" t="s">
        <v>100</v>
      </c>
    </row>
    <row r="37" customFormat="false" ht="15" hidden="false" customHeight="false" outlineLevel="0" collapsed="false">
      <c r="A37" s="0" t="s">
        <v>216</v>
      </c>
      <c r="B37" s="0" t="s">
        <v>217</v>
      </c>
      <c r="C37" s="0" t="s">
        <v>218</v>
      </c>
      <c r="D37" s="0" t="s">
        <v>146</v>
      </c>
      <c r="E37" s="0" t="s">
        <v>100</v>
      </c>
      <c r="F37" s="0" t="s">
        <v>100</v>
      </c>
    </row>
    <row r="38" customFormat="false" ht="15" hidden="false" customHeight="false" outlineLevel="0" collapsed="false">
      <c r="A38" s="0" t="s">
        <v>219</v>
      </c>
      <c r="B38" s="0" t="s">
        <v>220</v>
      </c>
      <c r="C38" s="0" t="s">
        <v>221</v>
      </c>
      <c r="D38" s="0" t="s">
        <v>222</v>
      </c>
      <c r="E38" s="0" t="s">
        <v>99</v>
      </c>
      <c r="F38" s="0" t="s">
        <v>100</v>
      </c>
    </row>
    <row r="39" customFormat="false" ht="15" hidden="false" customHeight="false" outlineLevel="0" collapsed="false">
      <c r="A39" s="0" t="s">
        <v>223</v>
      </c>
      <c r="B39" s="0" t="s">
        <v>224</v>
      </c>
      <c r="C39" s="0" t="s">
        <v>221</v>
      </c>
      <c r="D39" s="0" t="s">
        <v>222</v>
      </c>
      <c r="E39" s="0" t="s">
        <v>99</v>
      </c>
      <c r="F39" s="0" t="s">
        <v>100</v>
      </c>
    </row>
    <row r="40" customFormat="false" ht="15" hidden="false" customHeight="false" outlineLevel="0" collapsed="false">
      <c r="A40" s="0" t="s">
        <v>47</v>
      </c>
      <c r="B40" s="0" t="s">
        <v>225</v>
      </c>
      <c r="C40" s="0" t="s">
        <v>221</v>
      </c>
      <c r="D40" s="0" t="s">
        <v>222</v>
      </c>
      <c r="E40" s="0" t="s">
        <v>100</v>
      </c>
      <c r="F40" s="0" t="s">
        <v>100</v>
      </c>
    </row>
    <row r="41" customFormat="false" ht="15" hidden="false" customHeight="false" outlineLevel="0" collapsed="false">
      <c r="A41" s="0" t="s">
        <v>226</v>
      </c>
      <c r="B41" s="0" t="s">
        <v>227</v>
      </c>
      <c r="C41" s="0" t="s">
        <v>221</v>
      </c>
      <c r="D41" s="0" t="s">
        <v>222</v>
      </c>
      <c r="E41" s="0" t="s">
        <v>100</v>
      </c>
      <c r="F41" s="0" t="s">
        <v>101</v>
      </c>
    </row>
    <row r="42" customFormat="false" ht="15" hidden="false" customHeight="false" outlineLevel="0" collapsed="false">
      <c r="A42" s="0" t="s">
        <v>228</v>
      </c>
      <c r="B42" s="0" t="s">
        <v>229</v>
      </c>
      <c r="C42" s="0" t="s">
        <v>221</v>
      </c>
      <c r="D42" s="0" t="s">
        <v>222</v>
      </c>
      <c r="E42" s="0" t="s">
        <v>101</v>
      </c>
      <c r="F42" s="0" t="s">
        <v>101</v>
      </c>
    </row>
    <row r="43" customFormat="false" ht="15" hidden="false" customHeight="false" outlineLevel="0" collapsed="false">
      <c r="A43" s="0" t="s">
        <v>230</v>
      </c>
      <c r="B43" s="0" t="s">
        <v>231</v>
      </c>
      <c r="C43" s="0" t="s">
        <v>221</v>
      </c>
      <c r="D43" s="0" t="s">
        <v>222</v>
      </c>
      <c r="E43" s="0" t="s">
        <v>101</v>
      </c>
      <c r="F43" s="0" t="s">
        <v>101</v>
      </c>
    </row>
    <row r="44" customFormat="false" ht="15" hidden="false" customHeight="false" outlineLevel="0" collapsed="false">
      <c r="A44" s="0" t="s">
        <v>232</v>
      </c>
      <c r="B44" s="0" t="s">
        <v>233</v>
      </c>
      <c r="C44" s="0" t="s">
        <v>221</v>
      </c>
      <c r="D44" s="0" t="s">
        <v>234</v>
      </c>
      <c r="E44" s="0" t="s">
        <v>100</v>
      </c>
      <c r="F44" s="0" t="s">
        <v>99</v>
      </c>
    </row>
    <row r="45" customFormat="false" ht="15" hidden="false" customHeight="false" outlineLevel="0" collapsed="false">
      <c r="A45" s="0" t="s">
        <v>235</v>
      </c>
      <c r="B45" s="0" t="s">
        <v>236</v>
      </c>
      <c r="C45" s="0" t="s">
        <v>221</v>
      </c>
      <c r="D45" s="0" t="s">
        <v>234</v>
      </c>
      <c r="E45" s="0" t="s">
        <v>99</v>
      </c>
      <c r="F45" s="0" t="s">
        <v>99</v>
      </c>
    </row>
    <row r="46" customFormat="false" ht="15" hidden="false" customHeight="false" outlineLevel="0" collapsed="false">
      <c r="A46" s="0" t="s">
        <v>237</v>
      </c>
      <c r="B46" s="0" t="s">
        <v>238</v>
      </c>
      <c r="C46" s="0" t="s">
        <v>221</v>
      </c>
      <c r="D46" s="0" t="s">
        <v>234</v>
      </c>
      <c r="E46" s="0" t="s">
        <v>99</v>
      </c>
      <c r="F46" s="0" t="s">
        <v>99</v>
      </c>
    </row>
    <row r="47" customFormat="false" ht="15" hidden="false" customHeight="false" outlineLevel="0" collapsed="false">
      <c r="A47" s="0" t="s">
        <v>239</v>
      </c>
      <c r="B47" s="0" t="s">
        <v>240</v>
      </c>
      <c r="C47" s="0" t="s">
        <v>221</v>
      </c>
      <c r="D47" s="0" t="s">
        <v>234</v>
      </c>
      <c r="E47" s="0" t="s">
        <v>100</v>
      </c>
      <c r="F47" s="0"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2026-10-02T08:19:36Z</dcterms:created>
  <dc:creator>openpyxl</dc:creator>
  <dc:description/>
  <dc:language>en-US</dc:language>
  <cp:lastModifiedBy/>
  <dcterms:modified xsi:type="dcterms:W3CDTF">2026-10-02T08:19:36Z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